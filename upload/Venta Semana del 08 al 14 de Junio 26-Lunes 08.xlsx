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F4CF1212-95D6-439E-81E6-6B7BB4BF9504}" xr6:coauthVersionLast="47" xr6:coauthVersionMax="47" xr10:uidLastSave="{00000000-0000-0000-0000-000000000000}"/>
  <bookViews>
    <workbookView xWindow="-120" yWindow="-120" windowWidth="15600" windowHeight="11040" tabRatio="697" firstSheet="4" activeTab="4" xr2:uid="{00000000-000D-0000-FFFF-FFFF00000000}"/>
  </bookViews>
  <sheets>
    <sheet name="LUNES 15" sheetId="370" r:id="rId1"/>
    <sheet name="DOMINGO 14" sheetId="369" r:id="rId2"/>
    <sheet name="SABADO 13" sheetId="368" r:id="rId3"/>
    <sheet name="VIERNES 12" sheetId="367" r:id="rId4"/>
    <sheet name="JUEVES 11" sheetId="366" r:id="rId5"/>
    <sheet name="MIERCOLES 10" sheetId="365" r:id="rId6"/>
    <sheet name="MARTES 09" sheetId="364" r:id="rId7"/>
    <sheet name="LUNES 08" sheetId="363" r:id="rId8"/>
    <sheet name="DOMINGO 07" sheetId="362" r:id="rId9"/>
  </sheets>
  <definedNames>
    <definedName name="_xlnm.Print_Area" localSheetId="8">'DOMINGO 07'!$B$165:$N$168</definedName>
    <definedName name="_xlnm.Print_Area" localSheetId="1">'DOMINGO 14'!$B$165:$N$168</definedName>
    <definedName name="_xlnm.Print_Area" localSheetId="4">'JUEVES 11'!$B$165:$N$168</definedName>
    <definedName name="_xlnm.Print_Area" localSheetId="7">'LUNES 08'!$B$165:$N$168</definedName>
    <definedName name="_xlnm.Print_Area" localSheetId="0">'LUNES 15'!$B$165:$N$168</definedName>
    <definedName name="_xlnm.Print_Area" localSheetId="6">'MARTES 09'!$B$165:$N$168</definedName>
    <definedName name="_xlnm.Print_Area" localSheetId="5">'MIERCOLES 10'!$B$165:$N$168</definedName>
    <definedName name="_xlnm.Print_Area" localSheetId="2">'SABADO 13'!$B$165:$N$168</definedName>
    <definedName name="_xlnm.Print_Area" localSheetId="3">'VIERNES 12'!$B$165:$N$168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71" i="366" l="1"/>
  <c r="W166" i="363"/>
  <c r="T174" i="362" l="1"/>
  <c r="T174" i="363"/>
  <c r="S169" i="370"/>
  <c r="B166" i="370"/>
  <c r="B165" i="370"/>
  <c r="B164" i="370"/>
  <c r="B163" i="370"/>
  <c r="B162" i="370"/>
  <c r="B161" i="370"/>
  <c r="B160" i="370"/>
  <c r="B159" i="370"/>
  <c r="N151" i="370"/>
  <c r="M151" i="370"/>
  <c r="N150" i="370"/>
  <c r="M150" i="370"/>
  <c r="N149" i="370"/>
  <c r="M149" i="370"/>
  <c r="N148" i="370"/>
  <c r="M148" i="370"/>
  <c r="N147" i="370"/>
  <c r="M147" i="370"/>
  <c r="I146" i="370"/>
  <c r="I145" i="370"/>
  <c r="I144" i="370"/>
  <c r="I143" i="370"/>
  <c r="I142" i="370"/>
  <c r="I141" i="370"/>
  <c r="I140" i="370"/>
  <c r="I139" i="370"/>
  <c r="I138" i="370"/>
  <c r="I137" i="370"/>
  <c r="I136" i="370"/>
  <c r="I135" i="370"/>
  <c r="I134" i="370"/>
  <c r="I133" i="370"/>
  <c r="I132" i="370"/>
  <c r="I131" i="370"/>
  <c r="I130" i="370"/>
  <c r="I129" i="370"/>
  <c r="I128" i="370"/>
  <c r="I127" i="370"/>
  <c r="I126" i="370"/>
  <c r="I125" i="370"/>
  <c r="I124" i="370"/>
  <c r="B119" i="370"/>
  <c r="O117" i="370"/>
  <c r="K117" i="370"/>
  <c r="O116" i="370"/>
  <c r="K116" i="370"/>
  <c r="O115" i="370"/>
  <c r="K115" i="370"/>
  <c r="O114" i="370"/>
  <c r="J114" i="370"/>
  <c r="K114" i="370" s="1"/>
  <c r="O113" i="370"/>
  <c r="K113" i="370"/>
  <c r="J113" i="370"/>
  <c r="B113" i="370"/>
  <c r="O111" i="370"/>
  <c r="K111" i="370"/>
  <c r="O110" i="370"/>
  <c r="K110" i="370"/>
  <c r="O109" i="370"/>
  <c r="K109" i="370"/>
  <c r="O108" i="370"/>
  <c r="J108" i="370"/>
  <c r="K108" i="370" s="1"/>
  <c r="O107" i="370"/>
  <c r="B110" i="370" s="1"/>
  <c r="G165" i="370" s="1"/>
  <c r="J107" i="370"/>
  <c r="K107" i="370" s="1"/>
  <c r="B107" i="370"/>
  <c r="O105" i="370"/>
  <c r="K105" i="370"/>
  <c r="O104" i="370"/>
  <c r="K104" i="370"/>
  <c r="O103" i="370"/>
  <c r="K103" i="370"/>
  <c r="O102" i="370"/>
  <c r="J102" i="370"/>
  <c r="K102" i="370" s="1"/>
  <c r="O101" i="370"/>
  <c r="K101" i="370"/>
  <c r="J101" i="370"/>
  <c r="B101" i="370"/>
  <c r="O99" i="370"/>
  <c r="K99" i="370"/>
  <c r="O98" i="370"/>
  <c r="K98" i="370"/>
  <c r="O97" i="370"/>
  <c r="K97" i="370"/>
  <c r="O96" i="370"/>
  <c r="J96" i="370"/>
  <c r="K96" i="370" s="1"/>
  <c r="O95" i="370"/>
  <c r="B98" i="370" s="1"/>
  <c r="G163" i="370" s="1"/>
  <c r="J95" i="370"/>
  <c r="K95" i="370" s="1"/>
  <c r="B95" i="370"/>
  <c r="O93" i="370"/>
  <c r="K93" i="370"/>
  <c r="O92" i="370"/>
  <c r="K92" i="370"/>
  <c r="O91" i="370"/>
  <c r="K91" i="370"/>
  <c r="O90" i="370"/>
  <c r="J90" i="370"/>
  <c r="K90" i="370" s="1"/>
  <c r="O89" i="370"/>
  <c r="J89" i="370"/>
  <c r="K89" i="370" s="1"/>
  <c r="Q92" i="370" s="1"/>
  <c r="B89" i="370"/>
  <c r="O87" i="370"/>
  <c r="K87" i="370"/>
  <c r="O86" i="370"/>
  <c r="K86" i="370"/>
  <c r="O85" i="370"/>
  <c r="K85" i="370"/>
  <c r="O84" i="370"/>
  <c r="J84" i="370"/>
  <c r="K84" i="370" s="1"/>
  <c r="O83" i="370"/>
  <c r="B86" i="370" s="1"/>
  <c r="G161" i="370" s="1"/>
  <c r="J83" i="370"/>
  <c r="K83" i="370" s="1"/>
  <c r="B83" i="370"/>
  <c r="O81" i="370"/>
  <c r="K81" i="370"/>
  <c r="O80" i="370"/>
  <c r="K80" i="370"/>
  <c r="O79" i="370"/>
  <c r="K79" i="370"/>
  <c r="O78" i="370"/>
  <c r="J78" i="370"/>
  <c r="K78" i="370" s="1"/>
  <c r="O77" i="370"/>
  <c r="J77" i="370"/>
  <c r="K77" i="370" s="1"/>
  <c r="B77" i="370"/>
  <c r="O75" i="370"/>
  <c r="K75" i="370"/>
  <c r="O74" i="370"/>
  <c r="K74" i="370"/>
  <c r="O73" i="370"/>
  <c r="K73" i="370"/>
  <c r="O72" i="370"/>
  <c r="J72" i="370"/>
  <c r="I123" i="370" s="1"/>
  <c r="O71" i="370"/>
  <c r="J71" i="370"/>
  <c r="K71" i="370" s="1"/>
  <c r="B71" i="370"/>
  <c r="B68" i="370"/>
  <c r="W66" i="370"/>
  <c r="U66" i="370"/>
  <c r="S66" i="370"/>
  <c r="Q66" i="370"/>
  <c r="O66" i="370"/>
  <c r="K66" i="370"/>
  <c r="I66" i="370"/>
  <c r="G66" i="370"/>
  <c r="E66" i="370"/>
  <c r="X65" i="370"/>
  <c r="V65" i="370"/>
  <c r="T65" i="370"/>
  <c r="R65" i="370"/>
  <c r="P65" i="370"/>
  <c r="L65" i="370"/>
  <c r="J65" i="370"/>
  <c r="H65" i="370"/>
  <c r="F65" i="370"/>
  <c r="X64" i="370"/>
  <c r="V64" i="370"/>
  <c r="T64" i="370"/>
  <c r="R64" i="370"/>
  <c r="P64" i="370"/>
  <c r="L64" i="370"/>
  <c r="J64" i="370"/>
  <c r="H64" i="370"/>
  <c r="F64" i="370"/>
  <c r="X63" i="370"/>
  <c r="V63" i="370"/>
  <c r="T63" i="370"/>
  <c r="R63" i="370"/>
  <c r="P63" i="370"/>
  <c r="L63" i="370"/>
  <c r="J63" i="370"/>
  <c r="H63" i="370"/>
  <c r="F63" i="370"/>
  <c r="X62" i="370"/>
  <c r="V62" i="370"/>
  <c r="T62" i="370"/>
  <c r="R62" i="370"/>
  <c r="P62" i="370"/>
  <c r="L62" i="370"/>
  <c r="J62" i="370"/>
  <c r="H62" i="370"/>
  <c r="F62" i="370"/>
  <c r="X61" i="370"/>
  <c r="V61" i="370"/>
  <c r="T61" i="370"/>
  <c r="R61" i="370"/>
  <c r="P61" i="370"/>
  <c r="L61" i="370"/>
  <c r="J61" i="370"/>
  <c r="H61" i="370"/>
  <c r="F61" i="370"/>
  <c r="X60" i="370"/>
  <c r="V60" i="370"/>
  <c r="T60" i="370"/>
  <c r="R60" i="370"/>
  <c r="P60" i="370"/>
  <c r="L60" i="370"/>
  <c r="J60" i="370"/>
  <c r="H60" i="370"/>
  <c r="F60" i="370"/>
  <c r="X59" i="370"/>
  <c r="V59" i="370"/>
  <c r="T59" i="370"/>
  <c r="R59" i="370"/>
  <c r="P59" i="370"/>
  <c r="L59" i="370"/>
  <c r="J59" i="370"/>
  <c r="H59" i="370"/>
  <c r="F59" i="370"/>
  <c r="X58" i="370"/>
  <c r="V58" i="370"/>
  <c r="T58" i="370"/>
  <c r="R58" i="370"/>
  <c r="P58" i="370"/>
  <c r="L58" i="370"/>
  <c r="J58" i="370"/>
  <c r="H58" i="370"/>
  <c r="F58" i="370"/>
  <c r="X57" i="370"/>
  <c r="V57" i="370"/>
  <c r="T57" i="370"/>
  <c r="R57" i="370"/>
  <c r="P57" i="370"/>
  <c r="L57" i="370"/>
  <c r="J57" i="370"/>
  <c r="H57" i="370"/>
  <c r="F57" i="370"/>
  <c r="X56" i="370"/>
  <c r="V56" i="370"/>
  <c r="T56" i="370"/>
  <c r="R56" i="370"/>
  <c r="P56" i="370"/>
  <c r="L56" i="370"/>
  <c r="J56" i="370"/>
  <c r="H56" i="370"/>
  <c r="F56" i="370"/>
  <c r="X55" i="370"/>
  <c r="V55" i="370"/>
  <c r="T55" i="370"/>
  <c r="R55" i="370"/>
  <c r="P55" i="370"/>
  <c r="L55" i="370"/>
  <c r="J55" i="370"/>
  <c r="H55" i="370"/>
  <c r="F55" i="370"/>
  <c r="X54" i="370"/>
  <c r="V54" i="370"/>
  <c r="T54" i="370"/>
  <c r="R54" i="370"/>
  <c r="P54" i="370"/>
  <c r="L54" i="370"/>
  <c r="J54" i="370"/>
  <c r="H54" i="370"/>
  <c r="F54" i="370"/>
  <c r="X53" i="370"/>
  <c r="V53" i="370"/>
  <c r="T53" i="370"/>
  <c r="R53" i="370"/>
  <c r="P53" i="370"/>
  <c r="L53" i="370"/>
  <c r="J53" i="370"/>
  <c r="H53" i="370"/>
  <c r="F53" i="370"/>
  <c r="X52" i="370"/>
  <c r="V52" i="370"/>
  <c r="T52" i="370"/>
  <c r="R52" i="370"/>
  <c r="P52" i="370"/>
  <c r="L52" i="370"/>
  <c r="J52" i="370"/>
  <c r="H52" i="370"/>
  <c r="F52" i="370"/>
  <c r="X51" i="370"/>
  <c r="V51" i="370"/>
  <c r="T51" i="370"/>
  <c r="R51" i="370"/>
  <c r="P51" i="370"/>
  <c r="L51" i="370"/>
  <c r="J51" i="370"/>
  <c r="H51" i="370"/>
  <c r="F51" i="370"/>
  <c r="X50" i="370"/>
  <c r="V50" i="370"/>
  <c r="T50" i="370"/>
  <c r="R50" i="370"/>
  <c r="P50" i="370"/>
  <c r="L50" i="370"/>
  <c r="J50" i="370"/>
  <c r="H50" i="370"/>
  <c r="F50" i="370"/>
  <c r="X49" i="370"/>
  <c r="V49" i="370"/>
  <c r="T49" i="370"/>
  <c r="R49" i="370"/>
  <c r="P49" i="370"/>
  <c r="L49" i="370"/>
  <c r="J49" i="370"/>
  <c r="H49" i="370"/>
  <c r="F49" i="370"/>
  <c r="X48" i="370"/>
  <c r="V48" i="370"/>
  <c r="T48" i="370"/>
  <c r="R48" i="370"/>
  <c r="P48" i="370"/>
  <c r="L48" i="370"/>
  <c r="J48" i="370"/>
  <c r="H48" i="370"/>
  <c r="F48" i="370"/>
  <c r="X47" i="370"/>
  <c r="V47" i="370"/>
  <c r="T47" i="370"/>
  <c r="R47" i="370"/>
  <c r="P47" i="370"/>
  <c r="L47" i="370"/>
  <c r="J47" i="370"/>
  <c r="H47" i="370"/>
  <c r="F47" i="370"/>
  <c r="X46" i="370"/>
  <c r="V46" i="370"/>
  <c r="T46" i="370"/>
  <c r="R46" i="370"/>
  <c r="P46" i="370"/>
  <c r="L46" i="370"/>
  <c r="J46" i="370"/>
  <c r="H46" i="370"/>
  <c r="F46" i="370"/>
  <c r="X45" i="370"/>
  <c r="V45" i="370"/>
  <c r="T45" i="370"/>
  <c r="R45" i="370"/>
  <c r="P45" i="370"/>
  <c r="L45" i="370"/>
  <c r="J45" i="370"/>
  <c r="H45" i="370"/>
  <c r="F45" i="370"/>
  <c r="X44" i="370"/>
  <c r="V44" i="370"/>
  <c r="T44" i="370"/>
  <c r="R44" i="370"/>
  <c r="P44" i="370"/>
  <c r="L44" i="370"/>
  <c r="J44" i="370"/>
  <c r="H44" i="370"/>
  <c r="F44" i="370"/>
  <c r="X43" i="370"/>
  <c r="V43" i="370"/>
  <c r="T43" i="370"/>
  <c r="R43" i="370"/>
  <c r="P43" i="370"/>
  <c r="L43" i="370"/>
  <c r="J43" i="370"/>
  <c r="H43" i="370"/>
  <c r="F43" i="370"/>
  <c r="X42" i="370"/>
  <c r="V42" i="370"/>
  <c r="T42" i="370"/>
  <c r="R42" i="370"/>
  <c r="P42" i="370"/>
  <c r="L42" i="370"/>
  <c r="J42" i="370"/>
  <c r="H42" i="370"/>
  <c r="F42" i="370"/>
  <c r="X41" i="370"/>
  <c r="V41" i="370"/>
  <c r="T41" i="370"/>
  <c r="R41" i="370"/>
  <c r="P41" i="370"/>
  <c r="L41" i="370"/>
  <c r="J41" i="370"/>
  <c r="H41" i="370"/>
  <c r="X40" i="370"/>
  <c r="V40" i="370"/>
  <c r="T40" i="370"/>
  <c r="R40" i="370"/>
  <c r="P40" i="370"/>
  <c r="L40" i="370"/>
  <c r="J40" i="370"/>
  <c r="H40" i="370"/>
  <c r="F40" i="370"/>
  <c r="X39" i="370"/>
  <c r="V39" i="370"/>
  <c r="T39" i="370"/>
  <c r="R39" i="370"/>
  <c r="P39" i="370"/>
  <c r="L39" i="370"/>
  <c r="J39" i="370"/>
  <c r="H39" i="370"/>
  <c r="F39" i="370"/>
  <c r="X38" i="370"/>
  <c r="X66" i="370" s="1"/>
  <c r="I166" i="370" s="1"/>
  <c r="V38" i="370"/>
  <c r="T38" i="370"/>
  <c r="R38" i="370"/>
  <c r="P38" i="370"/>
  <c r="L38" i="370"/>
  <c r="J38" i="370"/>
  <c r="H38" i="370"/>
  <c r="F38" i="370"/>
  <c r="F66" i="370" s="1"/>
  <c r="B34" i="370"/>
  <c r="P31" i="370"/>
  <c r="H31" i="370"/>
  <c r="F31" i="370"/>
  <c r="P30" i="370"/>
  <c r="H30" i="370"/>
  <c r="F30" i="370"/>
  <c r="P29" i="370"/>
  <c r="H29" i="370"/>
  <c r="F29" i="370"/>
  <c r="P28" i="370"/>
  <c r="H28" i="370"/>
  <c r="F28" i="370"/>
  <c r="P27" i="370"/>
  <c r="H27" i="370"/>
  <c r="F27" i="370"/>
  <c r="P26" i="370"/>
  <c r="H26" i="370"/>
  <c r="F26" i="370"/>
  <c r="P25" i="370"/>
  <c r="H25" i="370"/>
  <c r="F25" i="370"/>
  <c r="R24" i="370"/>
  <c r="P24" i="370"/>
  <c r="H24" i="370"/>
  <c r="F24" i="370"/>
  <c r="P23" i="370"/>
  <c r="H23" i="370"/>
  <c r="F23" i="370"/>
  <c r="R22" i="370"/>
  <c r="P22" i="370"/>
  <c r="F22" i="370"/>
  <c r="R21" i="370"/>
  <c r="P21" i="370"/>
  <c r="F21" i="370"/>
  <c r="C21" i="370"/>
  <c r="R20" i="370"/>
  <c r="P20" i="370"/>
  <c r="F20" i="370"/>
  <c r="C20" i="370"/>
  <c r="R19" i="370"/>
  <c r="P19" i="370"/>
  <c r="F19" i="370"/>
  <c r="C19" i="370"/>
  <c r="R18" i="370"/>
  <c r="P18" i="370"/>
  <c r="F18" i="370"/>
  <c r="C18" i="370"/>
  <c r="R17" i="370"/>
  <c r="P17" i="370"/>
  <c r="F17" i="370"/>
  <c r="C17" i="370"/>
  <c r="R16" i="370"/>
  <c r="P16" i="370"/>
  <c r="F16" i="370"/>
  <c r="C16" i="370"/>
  <c r="P15" i="370"/>
  <c r="F15" i="370"/>
  <c r="C15" i="370"/>
  <c r="P14" i="370"/>
  <c r="F14" i="370"/>
  <c r="C14" i="370"/>
  <c r="P13" i="370"/>
  <c r="F13" i="370"/>
  <c r="C13" i="370"/>
  <c r="R12" i="370"/>
  <c r="P12" i="370"/>
  <c r="H12" i="370"/>
  <c r="F12" i="370"/>
  <c r="R11" i="370"/>
  <c r="P11" i="370"/>
  <c r="H11" i="370"/>
  <c r="F11" i="370"/>
  <c r="R10" i="370"/>
  <c r="P10" i="370"/>
  <c r="H10" i="370"/>
  <c r="F10" i="370"/>
  <c r="R9" i="370"/>
  <c r="P9" i="370"/>
  <c r="H9" i="370"/>
  <c r="F9" i="370"/>
  <c r="R8" i="370"/>
  <c r="P8" i="370"/>
  <c r="H8" i="370"/>
  <c r="F8" i="370"/>
  <c r="R7" i="370"/>
  <c r="P7" i="370"/>
  <c r="H7" i="370"/>
  <c r="F7" i="370"/>
  <c r="R6" i="370"/>
  <c r="P6" i="370"/>
  <c r="H6" i="370"/>
  <c r="F6" i="370"/>
  <c r="R5" i="370"/>
  <c r="P5" i="370"/>
  <c r="H5" i="370"/>
  <c r="F5" i="370"/>
  <c r="P4" i="370"/>
  <c r="H4" i="370"/>
  <c r="F4" i="370"/>
  <c r="B1" i="370"/>
  <c r="S169" i="369"/>
  <c r="B166" i="369"/>
  <c r="B165" i="369"/>
  <c r="B164" i="369"/>
  <c r="B163" i="369"/>
  <c r="B162" i="369"/>
  <c r="B161" i="369"/>
  <c r="B160" i="369"/>
  <c r="B159" i="369"/>
  <c r="N151" i="369"/>
  <c r="M151" i="369"/>
  <c r="N150" i="369"/>
  <c r="M150" i="369"/>
  <c r="N149" i="369"/>
  <c r="M149" i="369"/>
  <c r="N148" i="369"/>
  <c r="M148" i="369"/>
  <c r="N147" i="369"/>
  <c r="M147" i="369"/>
  <c r="I146" i="369"/>
  <c r="I145" i="369"/>
  <c r="I144" i="369"/>
  <c r="I143" i="369"/>
  <c r="I142" i="369"/>
  <c r="I141" i="369"/>
  <c r="I140" i="369"/>
  <c r="I139" i="369"/>
  <c r="I138" i="369"/>
  <c r="I137" i="369"/>
  <c r="I136" i="369"/>
  <c r="I135" i="369"/>
  <c r="I134" i="369"/>
  <c r="I133" i="369"/>
  <c r="I132" i="369"/>
  <c r="I131" i="369"/>
  <c r="I130" i="369"/>
  <c r="I129" i="369"/>
  <c r="I128" i="369"/>
  <c r="I127" i="369"/>
  <c r="I126" i="369"/>
  <c r="I125" i="369"/>
  <c r="I124" i="369"/>
  <c r="B119" i="369"/>
  <c r="O117" i="369"/>
  <c r="K117" i="369"/>
  <c r="O116" i="369"/>
  <c r="K116" i="369"/>
  <c r="O115" i="369"/>
  <c r="K115" i="369"/>
  <c r="O114" i="369"/>
  <c r="J114" i="369"/>
  <c r="K114" i="369" s="1"/>
  <c r="O113" i="369"/>
  <c r="J113" i="369"/>
  <c r="K113" i="369" s="1"/>
  <c r="Q116" i="369" s="1"/>
  <c r="B113" i="369"/>
  <c r="O111" i="369"/>
  <c r="K111" i="369"/>
  <c r="O110" i="369"/>
  <c r="K110" i="369"/>
  <c r="O109" i="369"/>
  <c r="K109" i="369"/>
  <c r="O108" i="369"/>
  <c r="J108" i="369"/>
  <c r="K108" i="369" s="1"/>
  <c r="O107" i="369"/>
  <c r="B110" i="369" s="1"/>
  <c r="G165" i="369" s="1"/>
  <c r="J107" i="369"/>
  <c r="K107" i="369" s="1"/>
  <c r="B107" i="369"/>
  <c r="O105" i="369"/>
  <c r="K105" i="369"/>
  <c r="O104" i="369"/>
  <c r="K104" i="369"/>
  <c r="O103" i="369"/>
  <c r="K103" i="369"/>
  <c r="O102" i="369"/>
  <c r="J102" i="369"/>
  <c r="K102" i="369" s="1"/>
  <c r="O101" i="369"/>
  <c r="J101" i="369"/>
  <c r="K101" i="369" s="1"/>
  <c r="B101" i="369"/>
  <c r="O99" i="369"/>
  <c r="K99" i="369"/>
  <c r="O98" i="369"/>
  <c r="K98" i="369"/>
  <c r="O97" i="369"/>
  <c r="K97" i="369"/>
  <c r="O96" i="369"/>
  <c r="J96" i="369"/>
  <c r="K96" i="369" s="1"/>
  <c r="O95" i="369"/>
  <c r="J95" i="369"/>
  <c r="K95" i="369" s="1"/>
  <c r="B95" i="369"/>
  <c r="O93" i="369"/>
  <c r="K93" i="369"/>
  <c r="O92" i="369"/>
  <c r="K92" i="369"/>
  <c r="O91" i="369"/>
  <c r="K91" i="369"/>
  <c r="O90" i="369"/>
  <c r="J90" i="369"/>
  <c r="K90" i="369" s="1"/>
  <c r="O89" i="369"/>
  <c r="B92" i="369" s="1"/>
  <c r="G162" i="369" s="1"/>
  <c r="J89" i="369"/>
  <c r="K89" i="369" s="1"/>
  <c r="B89" i="369"/>
  <c r="O87" i="369"/>
  <c r="K87" i="369"/>
  <c r="O86" i="369"/>
  <c r="K86" i="369"/>
  <c r="B86" i="369"/>
  <c r="G161" i="369" s="1"/>
  <c r="O85" i="369"/>
  <c r="K85" i="369"/>
  <c r="O84" i="369"/>
  <c r="J84" i="369"/>
  <c r="K84" i="369" s="1"/>
  <c r="O83" i="369"/>
  <c r="J83" i="369"/>
  <c r="K83" i="369" s="1"/>
  <c r="B83" i="369"/>
  <c r="O81" i="369"/>
  <c r="K81" i="369"/>
  <c r="O80" i="369"/>
  <c r="K80" i="369"/>
  <c r="O79" i="369"/>
  <c r="K79" i="369"/>
  <c r="O78" i="369"/>
  <c r="J78" i="369"/>
  <c r="K78" i="369" s="1"/>
  <c r="O77" i="369"/>
  <c r="J77" i="369"/>
  <c r="K77" i="369" s="1"/>
  <c r="B77" i="369"/>
  <c r="O75" i="369"/>
  <c r="K75" i="369"/>
  <c r="O74" i="369"/>
  <c r="K74" i="369"/>
  <c r="O73" i="369"/>
  <c r="K73" i="369"/>
  <c r="O72" i="369"/>
  <c r="J72" i="369"/>
  <c r="O71" i="369"/>
  <c r="J71" i="369"/>
  <c r="K71" i="369" s="1"/>
  <c r="B71" i="369"/>
  <c r="B68" i="369"/>
  <c r="W66" i="369"/>
  <c r="U66" i="369"/>
  <c r="S66" i="369"/>
  <c r="Q66" i="369"/>
  <c r="O66" i="369"/>
  <c r="K66" i="369"/>
  <c r="I66" i="369"/>
  <c r="G66" i="369"/>
  <c r="E66" i="369"/>
  <c r="X65" i="369"/>
  <c r="V65" i="369"/>
  <c r="T65" i="369"/>
  <c r="R65" i="369"/>
  <c r="P65" i="369"/>
  <c r="L65" i="369"/>
  <c r="J65" i="369"/>
  <c r="H65" i="369"/>
  <c r="F65" i="369"/>
  <c r="X64" i="369"/>
  <c r="V64" i="369"/>
  <c r="T64" i="369"/>
  <c r="R64" i="369"/>
  <c r="P64" i="369"/>
  <c r="L64" i="369"/>
  <c r="J64" i="369"/>
  <c r="H64" i="369"/>
  <c r="F64" i="369"/>
  <c r="X63" i="369"/>
  <c r="V63" i="369"/>
  <c r="T63" i="369"/>
  <c r="R63" i="369"/>
  <c r="P63" i="369"/>
  <c r="L63" i="369"/>
  <c r="J63" i="369"/>
  <c r="H63" i="369"/>
  <c r="F63" i="369"/>
  <c r="X62" i="369"/>
  <c r="V62" i="369"/>
  <c r="T62" i="369"/>
  <c r="R62" i="369"/>
  <c r="P62" i="369"/>
  <c r="L62" i="369"/>
  <c r="J62" i="369"/>
  <c r="H62" i="369"/>
  <c r="F62" i="369"/>
  <c r="X61" i="369"/>
  <c r="V61" i="369"/>
  <c r="T61" i="369"/>
  <c r="R61" i="369"/>
  <c r="P61" i="369"/>
  <c r="L61" i="369"/>
  <c r="J61" i="369"/>
  <c r="H61" i="369"/>
  <c r="F61" i="369"/>
  <c r="X60" i="369"/>
  <c r="V60" i="369"/>
  <c r="T60" i="369"/>
  <c r="R60" i="369"/>
  <c r="P60" i="369"/>
  <c r="L60" i="369"/>
  <c r="J60" i="369"/>
  <c r="H60" i="369"/>
  <c r="F60" i="369"/>
  <c r="X59" i="369"/>
  <c r="V59" i="369"/>
  <c r="T59" i="369"/>
  <c r="R59" i="369"/>
  <c r="P59" i="369"/>
  <c r="L59" i="369"/>
  <c r="J59" i="369"/>
  <c r="H59" i="369"/>
  <c r="F59" i="369"/>
  <c r="X58" i="369"/>
  <c r="V58" i="369"/>
  <c r="T58" i="369"/>
  <c r="R58" i="369"/>
  <c r="P58" i="369"/>
  <c r="L58" i="369"/>
  <c r="J58" i="369"/>
  <c r="H58" i="369"/>
  <c r="F58" i="369"/>
  <c r="X57" i="369"/>
  <c r="V57" i="369"/>
  <c r="T57" i="369"/>
  <c r="R57" i="369"/>
  <c r="P57" i="369"/>
  <c r="L57" i="369"/>
  <c r="J57" i="369"/>
  <c r="H57" i="369"/>
  <c r="F57" i="369"/>
  <c r="X56" i="369"/>
  <c r="V56" i="369"/>
  <c r="T56" i="369"/>
  <c r="R56" i="369"/>
  <c r="P56" i="369"/>
  <c r="L56" i="369"/>
  <c r="J56" i="369"/>
  <c r="H56" i="369"/>
  <c r="F56" i="369"/>
  <c r="X55" i="369"/>
  <c r="V55" i="369"/>
  <c r="T55" i="369"/>
  <c r="R55" i="369"/>
  <c r="P55" i="369"/>
  <c r="L55" i="369"/>
  <c r="J55" i="369"/>
  <c r="H55" i="369"/>
  <c r="F55" i="369"/>
  <c r="X54" i="369"/>
  <c r="V54" i="369"/>
  <c r="T54" i="369"/>
  <c r="R54" i="369"/>
  <c r="P54" i="369"/>
  <c r="L54" i="369"/>
  <c r="J54" i="369"/>
  <c r="H54" i="369"/>
  <c r="F54" i="369"/>
  <c r="X53" i="369"/>
  <c r="V53" i="369"/>
  <c r="T53" i="369"/>
  <c r="R53" i="369"/>
  <c r="P53" i="369"/>
  <c r="L53" i="369"/>
  <c r="J53" i="369"/>
  <c r="H53" i="369"/>
  <c r="F53" i="369"/>
  <c r="X52" i="369"/>
  <c r="V52" i="369"/>
  <c r="T52" i="369"/>
  <c r="R52" i="369"/>
  <c r="P52" i="369"/>
  <c r="L52" i="369"/>
  <c r="J52" i="369"/>
  <c r="H52" i="369"/>
  <c r="F52" i="369"/>
  <c r="X51" i="369"/>
  <c r="V51" i="369"/>
  <c r="T51" i="369"/>
  <c r="R51" i="369"/>
  <c r="P51" i="369"/>
  <c r="L51" i="369"/>
  <c r="J51" i="369"/>
  <c r="H51" i="369"/>
  <c r="F51" i="369"/>
  <c r="X50" i="369"/>
  <c r="V50" i="369"/>
  <c r="T50" i="369"/>
  <c r="R50" i="369"/>
  <c r="P50" i="369"/>
  <c r="L50" i="369"/>
  <c r="J50" i="369"/>
  <c r="H50" i="369"/>
  <c r="F50" i="369"/>
  <c r="X49" i="369"/>
  <c r="V49" i="369"/>
  <c r="T49" i="369"/>
  <c r="R49" i="369"/>
  <c r="P49" i="369"/>
  <c r="L49" i="369"/>
  <c r="J49" i="369"/>
  <c r="H49" i="369"/>
  <c r="F49" i="369"/>
  <c r="X48" i="369"/>
  <c r="V48" i="369"/>
  <c r="T48" i="369"/>
  <c r="R48" i="369"/>
  <c r="P48" i="369"/>
  <c r="L48" i="369"/>
  <c r="J48" i="369"/>
  <c r="H48" i="369"/>
  <c r="F48" i="369"/>
  <c r="X47" i="369"/>
  <c r="V47" i="369"/>
  <c r="T47" i="369"/>
  <c r="R47" i="369"/>
  <c r="P47" i="369"/>
  <c r="L47" i="369"/>
  <c r="J47" i="369"/>
  <c r="H47" i="369"/>
  <c r="F47" i="369"/>
  <c r="X46" i="369"/>
  <c r="V46" i="369"/>
  <c r="T46" i="369"/>
  <c r="R46" i="369"/>
  <c r="P46" i="369"/>
  <c r="L46" i="369"/>
  <c r="J46" i="369"/>
  <c r="H46" i="369"/>
  <c r="F46" i="369"/>
  <c r="X45" i="369"/>
  <c r="V45" i="369"/>
  <c r="T45" i="369"/>
  <c r="R45" i="369"/>
  <c r="P45" i="369"/>
  <c r="L45" i="369"/>
  <c r="J45" i="369"/>
  <c r="H45" i="369"/>
  <c r="F45" i="369"/>
  <c r="X44" i="369"/>
  <c r="V44" i="369"/>
  <c r="T44" i="369"/>
  <c r="R44" i="369"/>
  <c r="P44" i="369"/>
  <c r="L44" i="369"/>
  <c r="J44" i="369"/>
  <c r="H44" i="369"/>
  <c r="F44" i="369"/>
  <c r="X43" i="369"/>
  <c r="V43" i="369"/>
  <c r="T43" i="369"/>
  <c r="R43" i="369"/>
  <c r="P43" i="369"/>
  <c r="L43" i="369"/>
  <c r="J43" i="369"/>
  <c r="H43" i="369"/>
  <c r="F43" i="369"/>
  <c r="X42" i="369"/>
  <c r="V42" i="369"/>
  <c r="T42" i="369"/>
  <c r="R42" i="369"/>
  <c r="P42" i="369"/>
  <c r="L42" i="369"/>
  <c r="J42" i="369"/>
  <c r="H42" i="369"/>
  <c r="F42" i="369"/>
  <c r="X41" i="369"/>
  <c r="V41" i="369"/>
  <c r="T41" i="369"/>
  <c r="R41" i="369"/>
  <c r="P41" i="369"/>
  <c r="L41" i="369"/>
  <c r="J41" i="369"/>
  <c r="H41" i="369"/>
  <c r="X40" i="369"/>
  <c r="V40" i="369"/>
  <c r="T40" i="369"/>
  <c r="R40" i="369"/>
  <c r="P40" i="369"/>
  <c r="L40" i="369"/>
  <c r="J40" i="369"/>
  <c r="H40" i="369"/>
  <c r="F40" i="369"/>
  <c r="X39" i="369"/>
  <c r="V39" i="369"/>
  <c r="T39" i="369"/>
  <c r="R39" i="369"/>
  <c r="P39" i="369"/>
  <c r="L39" i="369"/>
  <c r="J39" i="369"/>
  <c r="H39" i="369"/>
  <c r="F39" i="369"/>
  <c r="X38" i="369"/>
  <c r="V38" i="369"/>
  <c r="T38" i="369"/>
  <c r="R38" i="369"/>
  <c r="P38" i="369"/>
  <c r="L38" i="369"/>
  <c r="J38" i="369"/>
  <c r="H38" i="369"/>
  <c r="F38" i="369"/>
  <c r="B34" i="369"/>
  <c r="P31" i="369"/>
  <c r="H31" i="369"/>
  <c r="F31" i="369"/>
  <c r="P30" i="369"/>
  <c r="H30" i="369"/>
  <c r="F30" i="369"/>
  <c r="P29" i="369"/>
  <c r="H29" i="369"/>
  <c r="F29" i="369"/>
  <c r="P28" i="369"/>
  <c r="H28" i="369"/>
  <c r="F28" i="369"/>
  <c r="P27" i="369"/>
  <c r="H27" i="369"/>
  <c r="F27" i="369"/>
  <c r="P26" i="369"/>
  <c r="H26" i="369"/>
  <c r="F26" i="369"/>
  <c r="P25" i="369"/>
  <c r="H25" i="369"/>
  <c r="F25" i="369"/>
  <c r="R24" i="369"/>
  <c r="P24" i="369"/>
  <c r="H24" i="369"/>
  <c r="F24" i="369"/>
  <c r="P23" i="369"/>
  <c r="H23" i="369"/>
  <c r="F23" i="369"/>
  <c r="R22" i="369"/>
  <c r="P22" i="369"/>
  <c r="F22" i="369"/>
  <c r="R21" i="369"/>
  <c r="P21" i="369"/>
  <c r="F21" i="369"/>
  <c r="C21" i="369"/>
  <c r="R20" i="369"/>
  <c r="P20" i="369"/>
  <c r="F20" i="369"/>
  <c r="C20" i="369"/>
  <c r="R19" i="369"/>
  <c r="P19" i="369"/>
  <c r="F19" i="369"/>
  <c r="C19" i="369"/>
  <c r="R18" i="369"/>
  <c r="P18" i="369"/>
  <c r="F18" i="369"/>
  <c r="C18" i="369"/>
  <c r="R17" i="369"/>
  <c r="P17" i="369"/>
  <c r="F17" i="369"/>
  <c r="C17" i="369"/>
  <c r="R16" i="369"/>
  <c r="P16" i="369"/>
  <c r="F16" i="369"/>
  <c r="C16" i="369"/>
  <c r="P15" i="369"/>
  <c r="F15" i="369"/>
  <c r="C15" i="369"/>
  <c r="P14" i="369"/>
  <c r="F14" i="369"/>
  <c r="C14" i="369"/>
  <c r="P13" i="369"/>
  <c r="F13" i="369"/>
  <c r="C13" i="369"/>
  <c r="R12" i="369"/>
  <c r="P12" i="369"/>
  <c r="H12" i="369"/>
  <c r="F12" i="369"/>
  <c r="R11" i="369"/>
  <c r="P11" i="369"/>
  <c r="H11" i="369"/>
  <c r="F11" i="369"/>
  <c r="R10" i="369"/>
  <c r="P10" i="369"/>
  <c r="H10" i="369"/>
  <c r="F10" i="369"/>
  <c r="R9" i="369"/>
  <c r="P9" i="369"/>
  <c r="H9" i="369"/>
  <c r="F9" i="369"/>
  <c r="R8" i="369"/>
  <c r="P8" i="369"/>
  <c r="H8" i="369"/>
  <c r="F8" i="369"/>
  <c r="R7" i="369"/>
  <c r="P7" i="369"/>
  <c r="H7" i="369"/>
  <c r="F7" i="369"/>
  <c r="R6" i="369"/>
  <c r="P6" i="369"/>
  <c r="H6" i="369"/>
  <c r="F6" i="369"/>
  <c r="R5" i="369"/>
  <c r="P5" i="369"/>
  <c r="H5" i="369"/>
  <c r="F5" i="369"/>
  <c r="P4" i="369"/>
  <c r="H4" i="369"/>
  <c r="F4" i="369"/>
  <c r="B1" i="369"/>
  <c r="S169" i="368"/>
  <c r="B166" i="368"/>
  <c r="B165" i="368"/>
  <c r="B164" i="368"/>
  <c r="B163" i="368"/>
  <c r="B162" i="368"/>
  <c r="B161" i="368"/>
  <c r="B160" i="368"/>
  <c r="B159" i="368"/>
  <c r="N151" i="368"/>
  <c r="M151" i="368"/>
  <c r="N150" i="368"/>
  <c r="M150" i="368"/>
  <c r="N149" i="368"/>
  <c r="M149" i="368"/>
  <c r="N148" i="368"/>
  <c r="M148" i="368"/>
  <c r="N147" i="368"/>
  <c r="M147" i="368"/>
  <c r="I146" i="368"/>
  <c r="I145" i="368"/>
  <c r="I144" i="368"/>
  <c r="I143" i="368"/>
  <c r="I142" i="368"/>
  <c r="I141" i="368"/>
  <c r="I140" i="368"/>
  <c r="I139" i="368"/>
  <c r="I138" i="368"/>
  <c r="I137" i="368"/>
  <c r="I136" i="368"/>
  <c r="I135" i="368"/>
  <c r="I134" i="368"/>
  <c r="I133" i="368"/>
  <c r="I132" i="368"/>
  <c r="I131" i="368"/>
  <c r="I130" i="368"/>
  <c r="I129" i="368"/>
  <c r="I128" i="368"/>
  <c r="I127" i="368"/>
  <c r="I126" i="368"/>
  <c r="I125" i="368"/>
  <c r="I124" i="368"/>
  <c r="B119" i="368"/>
  <c r="O117" i="368"/>
  <c r="K117" i="368"/>
  <c r="O116" i="368"/>
  <c r="K116" i="368"/>
  <c r="O115" i="368"/>
  <c r="K115" i="368"/>
  <c r="O114" i="368"/>
  <c r="J114" i="368"/>
  <c r="K114" i="368" s="1"/>
  <c r="O113" i="368"/>
  <c r="J113" i="368"/>
  <c r="K113" i="368" s="1"/>
  <c r="Q116" i="368" s="1"/>
  <c r="B113" i="368"/>
  <c r="O111" i="368"/>
  <c r="K111" i="368"/>
  <c r="O110" i="368"/>
  <c r="K110" i="368"/>
  <c r="O109" i="368"/>
  <c r="K109" i="368"/>
  <c r="O108" i="368"/>
  <c r="K108" i="368"/>
  <c r="J108" i="368"/>
  <c r="O107" i="368"/>
  <c r="B110" i="368" s="1"/>
  <c r="G165" i="368" s="1"/>
  <c r="J107" i="368"/>
  <c r="K107" i="368" s="1"/>
  <c r="B107" i="368"/>
  <c r="O105" i="368"/>
  <c r="K105" i="368"/>
  <c r="O104" i="368"/>
  <c r="K104" i="368"/>
  <c r="O103" i="368"/>
  <c r="K103" i="368"/>
  <c r="O102" i="368"/>
  <c r="J102" i="368"/>
  <c r="K102" i="368" s="1"/>
  <c r="O101" i="368"/>
  <c r="J101" i="368"/>
  <c r="K101" i="368" s="1"/>
  <c r="B101" i="368"/>
  <c r="O99" i="368"/>
  <c r="K99" i="368"/>
  <c r="O98" i="368"/>
  <c r="K98" i="368"/>
  <c r="O97" i="368"/>
  <c r="K97" i="368"/>
  <c r="O96" i="368"/>
  <c r="K96" i="368"/>
  <c r="J96" i="368"/>
  <c r="O95" i="368"/>
  <c r="J95" i="368"/>
  <c r="K95" i="368" s="1"/>
  <c r="B95" i="368"/>
  <c r="O93" i="368"/>
  <c r="K93" i="368"/>
  <c r="O92" i="368"/>
  <c r="K92" i="368"/>
  <c r="O91" i="368"/>
  <c r="K91" i="368"/>
  <c r="O90" i="368"/>
  <c r="J90" i="368"/>
  <c r="K90" i="368" s="1"/>
  <c r="O89" i="368"/>
  <c r="J89" i="368"/>
  <c r="K89" i="368" s="1"/>
  <c r="Q92" i="368" s="1"/>
  <c r="B89" i="368"/>
  <c r="O87" i="368"/>
  <c r="K87" i="368"/>
  <c r="O86" i="368"/>
  <c r="K86" i="368"/>
  <c r="O85" i="368"/>
  <c r="K85" i="368"/>
  <c r="O84" i="368"/>
  <c r="J84" i="368"/>
  <c r="K84" i="368" s="1"/>
  <c r="O83" i="368"/>
  <c r="B86" i="368" s="1"/>
  <c r="G161" i="368" s="1"/>
  <c r="J83" i="368"/>
  <c r="B83" i="368"/>
  <c r="O81" i="368"/>
  <c r="K81" i="368"/>
  <c r="O80" i="368"/>
  <c r="K80" i="368"/>
  <c r="O79" i="368"/>
  <c r="K79" i="368"/>
  <c r="O78" i="368"/>
  <c r="J78" i="368"/>
  <c r="K78" i="368" s="1"/>
  <c r="O77" i="368"/>
  <c r="J77" i="368"/>
  <c r="K77" i="368" s="1"/>
  <c r="B77" i="368"/>
  <c r="O75" i="368"/>
  <c r="K75" i="368"/>
  <c r="O74" i="368"/>
  <c r="K74" i="368"/>
  <c r="O73" i="368"/>
  <c r="K73" i="368"/>
  <c r="O72" i="368"/>
  <c r="J72" i="368"/>
  <c r="O71" i="368"/>
  <c r="K71" i="368"/>
  <c r="J71" i="368"/>
  <c r="B71" i="368"/>
  <c r="B68" i="368"/>
  <c r="W66" i="368"/>
  <c r="U66" i="368"/>
  <c r="S66" i="368"/>
  <c r="Q66" i="368"/>
  <c r="O66" i="368"/>
  <c r="K66" i="368"/>
  <c r="I66" i="368"/>
  <c r="G66" i="368"/>
  <c r="E66" i="368"/>
  <c r="X65" i="368"/>
  <c r="V65" i="368"/>
  <c r="T65" i="368"/>
  <c r="R65" i="368"/>
  <c r="P65" i="368"/>
  <c r="L65" i="368"/>
  <c r="J65" i="368"/>
  <c r="H65" i="368"/>
  <c r="F65" i="368"/>
  <c r="X64" i="368"/>
  <c r="V64" i="368"/>
  <c r="T64" i="368"/>
  <c r="R64" i="368"/>
  <c r="P64" i="368"/>
  <c r="L64" i="368"/>
  <c r="J64" i="368"/>
  <c r="H64" i="368"/>
  <c r="F64" i="368"/>
  <c r="X63" i="368"/>
  <c r="V63" i="368"/>
  <c r="T63" i="368"/>
  <c r="R63" i="368"/>
  <c r="P63" i="368"/>
  <c r="L63" i="368"/>
  <c r="J63" i="368"/>
  <c r="H63" i="368"/>
  <c r="F63" i="368"/>
  <c r="X62" i="368"/>
  <c r="V62" i="368"/>
  <c r="T62" i="368"/>
  <c r="R62" i="368"/>
  <c r="P62" i="368"/>
  <c r="L62" i="368"/>
  <c r="J62" i="368"/>
  <c r="H62" i="368"/>
  <c r="F62" i="368"/>
  <c r="X61" i="368"/>
  <c r="V61" i="368"/>
  <c r="T61" i="368"/>
  <c r="R61" i="368"/>
  <c r="P61" i="368"/>
  <c r="L61" i="368"/>
  <c r="J61" i="368"/>
  <c r="H61" i="368"/>
  <c r="F61" i="368"/>
  <c r="X60" i="368"/>
  <c r="V60" i="368"/>
  <c r="T60" i="368"/>
  <c r="R60" i="368"/>
  <c r="P60" i="368"/>
  <c r="L60" i="368"/>
  <c r="J60" i="368"/>
  <c r="H60" i="368"/>
  <c r="F60" i="368"/>
  <c r="X59" i="368"/>
  <c r="V59" i="368"/>
  <c r="T59" i="368"/>
  <c r="R59" i="368"/>
  <c r="P59" i="368"/>
  <c r="L59" i="368"/>
  <c r="J59" i="368"/>
  <c r="H59" i="368"/>
  <c r="F59" i="368"/>
  <c r="X58" i="368"/>
  <c r="V58" i="368"/>
  <c r="T58" i="368"/>
  <c r="R58" i="368"/>
  <c r="P58" i="368"/>
  <c r="L58" i="368"/>
  <c r="J58" i="368"/>
  <c r="H58" i="368"/>
  <c r="F58" i="368"/>
  <c r="X57" i="368"/>
  <c r="V57" i="368"/>
  <c r="T57" i="368"/>
  <c r="R57" i="368"/>
  <c r="P57" i="368"/>
  <c r="L57" i="368"/>
  <c r="J57" i="368"/>
  <c r="H57" i="368"/>
  <c r="F57" i="368"/>
  <c r="X56" i="368"/>
  <c r="V56" i="368"/>
  <c r="T56" i="368"/>
  <c r="R56" i="368"/>
  <c r="P56" i="368"/>
  <c r="L56" i="368"/>
  <c r="J56" i="368"/>
  <c r="H56" i="368"/>
  <c r="F56" i="368"/>
  <c r="X55" i="368"/>
  <c r="V55" i="368"/>
  <c r="T55" i="368"/>
  <c r="R55" i="368"/>
  <c r="P55" i="368"/>
  <c r="L55" i="368"/>
  <c r="J55" i="368"/>
  <c r="H55" i="368"/>
  <c r="F55" i="368"/>
  <c r="X54" i="368"/>
  <c r="V54" i="368"/>
  <c r="T54" i="368"/>
  <c r="R54" i="368"/>
  <c r="P54" i="368"/>
  <c r="L54" i="368"/>
  <c r="J54" i="368"/>
  <c r="H54" i="368"/>
  <c r="F54" i="368"/>
  <c r="X53" i="368"/>
  <c r="V53" i="368"/>
  <c r="T53" i="368"/>
  <c r="R53" i="368"/>
  <c r="P53" i="368"/>
  <c r="L53" i="368"/>
  <c r="J53" i="368"/>
  <c r="H53" i="368"/>
  <c r="F53" i="368"/>
  <c r="X52" i="368"/>
  <c r="V52" i="368"/>
  <c r="T52" i="368"/>
  <c r="R52" i="368"/>
  <c r="P52" i="368"/>
  <c r="L52" i="368"/>
  <c r="J52" i="368"/>
  <c r="H52" i="368"/>
  <c r="F52" i="368"/>
  <c r="X51" i="368"/>
  <c r="V51" i="368"/>
  <c r="T51" i="368"/>
  <c r="R51" i="368"/>
  <c r="P51" i="368"/>
  <c r="L51" i="368"/>
  <c r="J51" i="368"/>
  <c r="H51" i="368"/>
  <c r="F51" i="368"/>
  <c r="X50" i="368"/>
  <c r="V50" i="368"/>
  <c r="T50" i="368"/>
  <c r="R50" i="368"/>
  <c r="P50" i="368"/>
  <c r="L50" i="368"/>
  <c r="J50" i="368"/>
  <c r="H50" i="368"/>
  <c r="F50" i="368"/>
  <c r="X49" i="368"/>
  <c r="V49" i="368"/>
  <c r="T49" i="368"/>
  <c r="R49" i="368"/>
  <c r="P49" i="368"/>
  <c r="L49" i="368"/>
  <c r="J49" i="368"/>
  <c r="H49" i="368"/>
  <c r="F49" i="368"/>
  <c r="X48" i="368"/>
  <c r="V48" i="368"/>
  <c r="T48" i="368"/>
  <c r="R48" i="368"/>
  <c r="P48" i="368"/>
  <c r="L48" i="368"/>
  <c r="J48" i="368"/>
  <c r="H48" i="368"/>
  <c r="F48" i="368"/>
  <c r="X47" i="368"/>
  <c r="V47" i="368"/>
  <c r="T47" i="368"/>
  <c r="R47" i="368"/>
  <c r="P47" i="368"/>
  <c r="L47" i="368"/>
  <c r="J47" i="368"/>
  <c r="H47" i="368"/>
  <c r="F47" i="368"/>
  <c r="X46" i="368"/>
  <c r="V46" i="368"/>
  <c r="T46" i="368"/>
  <c r="R46" i="368"/>
  <c r="P46" i="368"/>
  <c r="L46" i="368"/>
  <c r="J46" i="368"/>
  <c r="H46" i="368"/>
  <c r="F46" i="368"/>
  <c r="X45" i="368"/>
  <c r="V45" i="368"/>
  <c r="T45" i="368"/>
  <c r="R45" i="368"/>
  <c r="P45" i="368"/>
  <c r="L45" i="368"/>
  <c r="J45" i="368"/>
  <c r="H45" i="368"/>
  <c r="F45" i="368"/>
  <c r="X44" i="368"/>
  <c r="V44" i="368"/>
  <c r="T44" i="368"/>
  <c r="R44" i="368"/>
  <c r="P44" i="368"/>
  <c r="L44" i="368"/>
  <c r="J44" i="368"/>
  <c r="H44" i="368"/>
  <c r="F44" i="368"/>
  <c r="X43" i="368"/>
  <c r="V43" i="368"/>
  <c r="T43" i="368"/>
  <c r="R43" i="368"/>
  <c r="P43" i="368"/>
  <c r="L43" i="368"/>
  <c r="J43" i="368"/>
  <c r="H43" i="368"/>
  <c r="F43" i="368"/>
  <c r="X42" i="368"/>
  <c r="V42" i="368"/>
  <c r="T42" i="368"/>
  <c r="R42" i="368"/>
  <c r="P42" i="368"/>
  <c r="L42" i="368"/>
  <c r="J42" i="368"/>
  <c r="H42" i="368"/>
  <c r="F42" i="368"/>
  <c r="X41" i="368"/>
  <c r="V41" i="368"/>
  <c r="T41" i="368"/>
  <c r="R41" i="368"/>
  <c r="P41" i="368"/>
  <c r="L41" i="368"/>
  <c r="J41" i="368"/>
  <c r="H41" i="368"/>
  <c r="X40" i="368"/>
  <c r="V40" i="368"/>
  <c r="T40" i="368"/>
  <c r="R40" i="368"/>
  <c r="P40" i="368"/>
  <c r="L40" i="368"/>
  <c r="J40" i="368"/>
  <c r="H40" i="368"/>
  <c r="F40" i="368"/>
  <c r="X39" i="368"/>
  <c r="V39" i="368"/>
  <c r="T39" i="368"/>
  <c r="R39" i="368"/>
  <c r="P39" i="368"/>
  <c r="L39" i="368"/>
  <c r="J39" i="368"/>
  <c r="H39" i="368"/>
  <c r="F39" i="368"/>
  <c r="X38" i="368"/>
  <c r="V38" i="368"/>
  <c r="T38" i="368"/>
  <c r="R38" i="368"/>
  <c r="P38" i="368"/>
  <c r="L38" i="368"/>
  <c r="L66" i="368" s="1"/>
  <c r="I161" i="368" s="1"/>
  <c r="J38" i="368"/>
  <c r="H38" i="368"/>
  <c r="F38" i="368"/>
  <c r="B34" i="368"/>
  <c r="P31" i="368"/>
  <c r="H31" i="368"/>
  <c r="F31" i="368"/>
  <c r="P30" i="368"/>
  <c r="H30" i="368"/>
  <c r="F30" i="368"/>
  <c r="P29" i="368"/>
  <c r="H29" i="368"/>
  <c r="F29" i="368"/>
  <c r="P28" i="368"/>
  <c r="H28" i="368"/>
  <c r="F28" i="368"/>
  <c r="P27" i="368"/>
  <c r="H27" i="368"/>
  <c r="F27" i="368"/>
  <c r="P26" i="368"/>
  <c r="H26" i="368"/>
  <c r="F26" i="368"/>
  <c r="P25" i="368"/>
  <c r="H25" i="368"/>
  <c r="F25" i="368"/>
  <c r="R24" i="368"/>
  <c r="P24" i="368"/>
  <c r="H24" i="368"/>
  <c r="F24" i="368"/>
  <c r="P23" i="368"/>
  <c r="H23" i="368"/>
  <c r="F23" i="368"/>
  <c r="R22" i="368"/>
  <c r="P22" i="368"/>
  <c r="F22" i="368"/>
  <c r="R21" i="368"/>
  <c r="P21" i="368"/>
  <c r="F21" i="368"/>
  <c r="C21" i="368"/>
  <c r="R20" i="368"/>
  <c r="P20" i="368"/>
  <c r="F20" i="368"/>
  <c r="C20" i="368"/>
  <c r="R19" i="368"/>
  <c r="P19" i="368"/>
  <c r="F19" i="368"/>
  <c r="C19" i="368"/>
  <c r="R18" i="368"/>
  <c r="P18" i="368"/>
  <c r="F18" i="368"/>
  <c r="C18" i="368"/>
  <c r="R17" i="368"/>
  <c r="P17" i="368"/>
  <c r="F17" i="368"/>
  <c r="C17" i="368"/>
  <c r="R16" i="368"/>
  <c r="P16" i="368"/>
  <c r="F16" i="368"/>
  <c r="C16" i="368"/>
  <c r="P15" i="368"/>
  <c r="F15" i="368"/>
  <c r="C15" i="368"/>
  <c r="P14" i="368"/>
  <c r="F14" i="368"/>
  <c r="C14" i="368"/>
  <c r="P13" i="368"/>
  <c r="F13" i="368"/>
  <c r="C13" i="368"/>
  <c r="R12" i="368"/>
  <c r="P12" i="368"/>
  <c r="H12" i="368"/>
  <c r="F12" i="368"/>
  <c r="R11" i="368"/>
  <c r="P11" i="368"/>
  <c r="H11" i="368"/>
  <c r="F11" i="368"/>
  <c r="R10" i="368"/>
  <c r="P10" i="368"/>
  <c r="H10" i="368"/>
  <c r="F10" i="368"/>
  <c r="R9" i="368"/>
  <c r="P9" i="368"/>
  <c r="H9" i="368"/>
  <c r="F9" i="368"/>
  <c r="R8" i="368"/>
  <c r="P8" i="368"/>
  <c r="H8" i="368"/>
  <c r="F8" i="368"/>
  <c r="R7" i="368"/>
  <c r="P7" i="368"/>
  <c r="H7" i="368"/>
  <c r="F7" i="368"/>
  <c r="R6" i="368"/>
  <c r="P6" i="368"/>
  <c r="H6" i="368"/>
  <c r="F6" i="368"/>
  <c r="R5" i="368"/>
  <c r="P5" i="368"/>
  <c r="H5" i="368"/>
  <c r="F5" i="368"/>
  <c r="P4" i="368"/>
  <c r="H4" i="368"/>
  <c r="F4" i="368"/>
  <c r="B1" i="368"/>
  <c r="S169" i="367"/>
  <c r="B166" i="367"/>
  <c r="B165" i="367"/>
  <c r="B164" i="367"/>
  <c r="B163" i="367"/>
  <c r="B162" i="367"/>
  <c r="B161" i="367"/>
  <c r="B160" i="367"/>
  <c r="B159" i="367"/>
  <c r="N151" i="367"/>
  <c r="M151" i="367"/>
  <c r="N150" i="367"/>
  <c r="M150" i="367"/>
  <c r="N149" i="367"/>
  <c r="M149" i="367"/>
  <c r="N148" i="367"/>
  <c r="M148" i="367"/>
  <c r="N147" i="367"/>
  <c r="M147" i="367"/>
  <c r="I146" i="367"/>
  <c r="I145" i="367"/>
  <c r="I144" i="367"/>
  <c r="I143" i="367"/>
  <c r="I142" i="367"/>
  <c r="I141" i="367"/>
  <c r="I140" i="367"/>
  <c r="I139" i="367"/>
  <c r="I138" i="367"/>
  <c r="I137" i="367"/>
  <c r="I136" i="367"/>
  <c r="I135" i="367"/>
  <c r="I134" i="367"/>
  <c r="I133" i="367"/>
  <c r="I132" i="367"/>
  <c r="I131" i="367"/>
  <c r="I130" i="367"/>
  <c r="I129" i="367"/>
  <c r="I128" i="367"/>
  <c r="I127" i="367"/>
  <c r="I126" i="367"/>
  <c r="I125" i="367"/>
  <c r="I124" i="367"/>
  <c r="B119" i="367"/>
  <c r="O117" i="367"/>
  <c r="K117" i="367"/>
  <c r="O116" i="367"/>
  <c r="K116" i="367"/>
  <c r="O115" i="367"/>
  <c r="K115" i="367"/>
  <c r="O114" i="367"/>
  <c r="J114" i="367"/>
  <c r="K114" i="367" s="1"/>
  <c r="O113" i="367"/>
  <c r="J113" i="367"/>
  <c r="K113" i="367" s="1"/>
  <c r="Q116" i="367" s="1"/>
  <c r="B113" i="367"/>
  <c r="O111" i="367"/>
  <c r="K111" i="367"/>
  <c r="O110" i="367"/>
  <c r="K110" i="367"/>
  <c r="O109" i="367"/>
  <c r="K109" i="367"/>
  <c r="O108" i="367"/>
  <c r="K108" i="367"/>
  <c r="J108" i="367"/>
  <c r="O107" i="367"/>
  <c r="B110" i="367" s="1"/>
  <c r="G165" i="367" s="1"/>
  <c r="J107" i="367"/>
  <c r="K107" i="367" s="1"/>
  <c r="B107" i="367"/>
  <c r="O105" i="367"/>
  <c r="K105" i="367"/>
  <c r="O104" i="367"/>
  <c r="K104" i="367"/>
  <c r="O103" i="367"/>
  <c r="K103" i="367"/>
  <c r="O102" i="367"/>
  <c r="J102" i="367"/>
  <c r="K102" i="367" s="1"/>
  <c r="O101" i="367"/>
  <c r="J101" i="367"/>
  <c r="K101" i="367" s="1"/>
  <c r="B101" i="367"/>
  <c r="O99" i="367"/>
  <c r="K99" i="367"/>
  <c r="O98" i="367"/>
  <c r="K98" i="367"/>
  <c r="O97" i="367"/>
  <c r="K97" i="367"/>
  <c r="O96" i="367"/>
  <c r="J96" i="367"/>
  <c r="K96" i="367" s="1"/>
  <c r="O95" i="367"/>
  <c r="B98" i="367" s="1"/>
  <c r="G163" i="367" s="1"/>
  <c r="J95" i="367"/>
  <c r="K95" i="367" s="1"/>
  <c r="B95" i="367"/>
  <c r="O93" i="367"/>
  <c r="K93" i="367"/>
  <c r="O92" i="367"/>
  <c r="K92" i="367"/>
  <c r="O91" i="367"/>
  <c r="K91" i="367"/>
  <c r="O90" i="367"/>
  <c r="J90" i="367"/>
  <c r="K90" i="367" s="1"/>
  <c r="O89" i="367"/>
  <c r="K89" i="367"/>
  <c r="J89" i="367"/>
  <c r="B89" i="367"/>
  <c r="O87" i="367"/>
  <c r="K87" i="367"/>
  <c r="O86" i="367"/>
  <c r="K86" i="367"/>
  <c r="O85" i="367"/>
  <c r="K85" i="367"/>
  <c r="O84" i="367"/>
  <c r="B86" i="367" s="1"/>
  <c r="G161" i="367" s="1"/>
  <c r="J84" i="367"/>
  <c r="K84" i="367" s="1"/>
  <c r="O83" i="367"/>
  <c r="J83" i="367"/>
  <c r="K83" i="367" s="1"/>
  <c r="B83" i="367"/>
  <c r="O81" i="367"/>
  <c r="K81" i="367"/>
  <c r="O80" i="367"/>
  <c r="K80" i="367"/>
  <c r="O79" i="367"/>
  <c r="B80" i="367" s="1"/>
  <c r="G160" i="367" s="1"/>
  <c r="K79" i="367"/>
  <c r="O78" i="367"/>
  <c r="J78" i="367"/>
  <c r="K78" i="367" s="1"/>
  <c r="O77" i="367"/>
  <c r="J77" i="367"/>
  <c r="K77" i="367" s="1"/>
  <c r="B77" i="367"/>
  <c r="O75" i="367"/>
  <c r="K75" i="367"/>
  <c r="O74" i="367"/>
  <c r="K74" i="367"/>
  <c r="O73" i="367"/>
  <c r="K73" i="367"/>
  <c r="O72" i="367"/>
  <c r="J72" i="367"/>
  <c r="O71" i="367"/>
  <c r="B74" i="367" s="1"/>
  <c r="G159" i="367" s="1"/>
  <c r="J71" i="367"/>
  <c r="K71" i="367" s="1"/>
  <c r="B71" i="367"/>
  <c r="B68" i="367"/>
  <c r="W66" i="367"/>
  <c r="U66" i="367"/>
  <c r="S66" i="367"/>
  <c r="Q66" i="367"/>
  <c r="O66" i="367"/>
  <c r="K66" i="367"/>
  <c r="I66" i="367"/>
  <c r="G66" i="367"/>
  <c r="E66" i="367"/>
  <c r="X65" i="367"/>
  <c r="V65" i="367"/>
  <c r="T65" i="367"/>
  <c r="R65" i="367"/>
  <c r="P65" i="367"/>
  <c r="L65" i="367"/>
  <c r="J65" i="367"/>
  <c r="H65" i="367"/>
  <c r="F65" i="367"/>
  <c r="X64" i="367"/>
  <c r="V64" i="367"/>
  <c r="T64" i="367"/>
  <c r="R64" i="367"/>
  <c r="P64" i="367"/>
  <c r="L64" i="367"/>
  <c r="J64" i="367"/>
  <c r="H64" i="367"/>
  <c r="F64" i="367"/>
  <c r="X63" i="367"/>
  <c r="V63" i="367"/>
  <c r="T63" i="367"/>
  <c r="R63" i="367"/>
  <c r="P63" i="367"/>
  <c r="L63" i="367"/>
  <c r="J63" i="367"/>
  <c r="H63" i="367"/>
  <c r="F63" i="367"/>
  <c r="X62" i="367"/>
  <c r="V62" i="367"/>
  <c r="T62" i="367"/>
  <c r="R62" i="367"/>
  <c r="P62" i="367"/>
  <c r="L62" i="367"/>
  <c r="J62" i="367"/>
  <c r="H62" i="367"/>
  <c r="F62" i="367"/>
  <c r="X61" i="367"/>
  <c r="V61" i="367"/>
  <c r="T61" i="367"/>
  <c r="R61" i="367"/>
  <c r="P61" i="367"/>
  <c r="L61" i="367"/>
  <c r="J61" i="367"/>
  <c r="H61" i="367"/>
  <c r="F61" i="367"/>
  <c r="X60" i="367"/>
  <c r="V60" i="367"/>
  <c r="T60" i="367"/>
  <c r="R60" i="367"/>
  <c r="P60" i="367"/>
  <c r="L60" i="367"/>
  <c r="J60" i="367"/>
  <c r="H60" i="367"/>
  <c r="F60" i="367"/>
  <c r="X59" i="367"/>
  <c r="V59" i="367"/>
  <c r="T59" i="367"/>
  <c r="R59" i="367"/>
  <c r="P59" i="367"/>
  <c r="L59" i="367"/>
  <c r="J59" i="367"/>
  <c r="H59" i="367"/>
  <c r="F59" i="367"/>
  <c r="X58" i="367"/>
  <c r="V58" i="367"/>
  <c r="T58" i="367"/>
  <c r="R58" i="367"/>
  <c r="P58" i="367"/>
  <c r="L58" i="367"/>
  <c r="J58" i="367"/>
  <c r="H58" i="367"/>
  <c r="F58" i="367"/>
  <c r="X57" i="367"/>
  <c r="V57" i="367"/>
  <c r="T57" i="367"/>
  <c r="R57" i="367"/>
  <c r="P57" i="367"/>
  <c r="L57" i="367"/>
  <c r="J57" i="367"/>
  <c r="H57" i="367"/>
  <c r="F57" i="367"/>
  <c r="X56" i="367"/>
  <c r="V56" i="367"/>
  <c r="T56" i="367"/>
  <c r="R56" i="367"/>
  <c r="P56" i="367"/>
  <c r="L56" i="367"/>
  <c r="J56" i="367"/>
  <c r="H56" i="367"/>
  <c r="F56" i="367"/>
  <c r="X55" i="367"/>
  <c r="V55" i="367"/>
  <c r="T55" i="367"/>
  <c r="R55" i="367"/>
  <c r="P55" i="367"/>
  <c r="L55" i="367"/>
  <c r="J55" i="367"/>
  <c r="H55" i="367"/>
  <c r="F55" i="367"/>
  <c r="X54" i="367"/>
  <c r="V54" i="367"/>
  <c r="T54" i="367"/>
  <c r="R54" i="367"/>
  <c r="P54" i="367"/>
  <c r="L54" i="367"/>
  <c r="J54" i="367"/>
  <c r="H54" i="367"/>
  <c r="F54" i="367"/>
  <c r="X53" i="367"/>
  <c r="V53" i="367"/>
  <c r="T53" i="367"/>
  <c r="R53" i="367"/>
  <c r="P53" i="367"/>
  <c r="L53" i="367"/>
  <c r="J53" i="367"/>
  <c r="H53" i="367"/>
  <c r="F53" i="367"/>
  <c r="X52" i="367"/>
  <c r="V52" i="367"/>
  <c r="T52" i="367"/>
  <c r="R52" i="367"/>
  <c r="P52" i="367"/>
  <c r="L52" i="367"/>
  <c r="J52" i="367"/>
  <c r="H52" i="367"/>
  <c r="F52" i="367"/>
  <c r="X51" i="367"/>
  <c r="V51" i="367"/>
  <c r="T51" i="367"/>
  <c r="R51" i="367"/>
  <c r="P51" i="367"/>
  <c r="L51" i="367"/>
  <c r="J51" i="367"/>
  <c r="H51" i="367"/>
  <c r="F51" i="367"/>
  <c r="X50" i="367"/>
  <c r="V50" i="367"/>
  <c r="T50" i="367"/>
  <c r="R50" i="367"/>
  <c r="P50" i="367"/>
  <c r="L50" i="367"/>
  <c r="J50" i="367"/>
  <c r="H50" i="367"/>
  <c r="F50" i="367"/>
  <c r="X49" i="367"/>
  <c r="V49" i="367"/>
  <c r="T49" i="367"/>
  <c r="R49" i="367"/>
  <c r="P49" i="367"/>
  <c r="L49" i="367"/>
  <c r="J49" i="367"/>
  <c r="H49" i="367"/>
  <c r="F49" i="367"/>
  <c r="X48" i="367"/>
  <c r="V48" i="367"/>
  <c r="T48" i="367"/>
  <c r="R48" i="367"/>
  <c r="P48" i="367"/>
  <c r="L48" i="367"/>
  <c r="J48" i="367"/>
  <c r="H48" i="367"/>
  <c r="F48" i="367"/>
  <c r="X47" i="367"/>
  <c r="V47" i="367"/>
  <c r="T47" i="367"/>
  <c r="R47" i="367"/>
  <c r="P47" i="367"/>
  <c r="L47" i="367"/>
  <c r="J47" i="367"/>
  <c r="H47" i="367"/>
  <c r="F47" i="367"/>
  <c r="X46" i="367"/>
  <c r="V46" i="367"/>
  <c r="T46" i="367"/>
  <c r="R46" i="367"/>
  <c r="P46" i="367"/>
  <c r="L46" i="367"/>
  <c r="J46" i="367"/>
  <c r="H46" i="367"/>
  <c r="F46" i="367"/>
  <c r="X45" i="367"/>
  <c r="V45" i="367"/>
  <c r="T45" i="367"/>
  <c r="R45" i="367"/>
  <c r="P45" i="367"/>
  <c r="L45" i="367"/>
  <c r="J45" i="367"/>
  <c r="H45" i="367"/>
  <c r="F45" i="367"/>
  <c r="X44" i="367"/>
  <c r="V44" i="367"/>
  <c r="T44" i="367"/>
  <c r="R44" i="367"/>
  <c r="P44" i="367"/>
  <c r="L44" i="367"/>
  <c r="J44" i="367"/>
  <c r="H44" i="367"/>
  <c r="F44" i="367"/>
  <c r="X43" i="367"/>
  <c r="V43" i="367"/>
  <c r="T43" i="367"/>
  <c r="R43" i="367"/>
  <c r="P43" i="367"/>
  <c r="L43" i="367"/>
  <c r="J43" i="367"/>
  <c r="H43" i="367"/>
  <c r="F43" i="367"/>
  <c r="X42" i="367"/>
  <c r="V42" i="367"/>
  <c r="T42" i="367"/>
  <c r="R42" i="367"/>
  <c r="P42" i="367"/>
  <c r="L42" i="367"/>
  <c r="J42" i="367"/>
  <c r="H42" i="367"/>
  <c r="F42" i="367"/>
  <c r="X41" i="367"/>
  <c r="V41" i="367"/>
  <c r="T41" i="367"/>
  <c r="R41" i="367"/>
  <c r="P41" i="367"/>
  <c r="L41" i="367"/>
  <c r="J41" i="367"/>
  <c r="H41" i="367"/>
  <c r="X40" i="367"/>
  <c r="V40" i="367"/>
  <c r="T40" i="367"/>
  <c r="R40" i="367"/>
  <c r="P40" i="367"/>
  <c r="L40" i="367"/>
  <c r="J40" i="367"/>
  <c r="H40" i="367"/>
  <c r="F40" i="367"/>
  <c r="X39" i="367"/>
  <c r="V39" i="367"/>
  <c r="T39" i="367"/>
  <c r="R39" i="367"/>
  <c r="P39" i="367"/>
  <c r="L39" i="367"/>
  <c r="J39" i="367"/>
  <c r="H39" i="367"/>
  <c r="F39" i="367"/>
  <c r="X38" i="367"/>
  <c r="V38" i="367"/>
  <c r="T38" i="367"/>
  <c r="T66" i="367" s="1"/>
  <c r="I164" i="367" s="1"/>
  <c r="R38" i="367"/>
  <c r="P38" i="367"/>
  <c r="L38" i="367"/>
  <c r="J38" i="367"/>
  <c r="H38" i="367"/>
  <c r="F38" i="367"/>
  <c r="B34" i="367"/>
  <c r="P31" i="367"/>
  <c r="H31" i="367"/>
  <c r="F31" i="367"/>
  <c r="P30" i="367"/>
  <c r="H30" i="367"/>
  <c r="F30" i="367"/>
  <c r="P29" i="367"/>
  <c r="H29" i="367"/>
  <c r="F29" i="367"/>
  <c r="P28" i="367"/>
  <c r="H28" i="367"/>
  <c r="F28" i="367"/>
  <c r="P27" i="367"/>
  <c r="H27" i="367"/>
  <c r="F27" i="367"/>
  <c r="P26" i="367"/>
  <c r="H26" i="367"/>
  <c r="F26" i="367"/>
  <c r="P25" i="367"/>
  <c r="H25" i="367"/>
  <c r="F25" i="367"/>
  <c r="R24" i="367"/>
  <c r="P24" i="367"/>
  <c r="H24" i="367"/>
  <c r="F24" i="367"/>
  <c r="P23" i="367"/>
  <c r="H23" i="367"/>
  <c r="F23" i="367"/>
  <c r="R22" i="367"/>
  <c r="P22" i="367"/>
  <c r="F22" i="367"/>
  <c r="R21" i="367"/>
  <c r="P21" i="367"/>
  <c r="F21" i="367"/>
  <c r="C21" i="367"/>
  <c r="R20" i="367"/>
  <c r="P20" i="367"/>
  <c r="F20" i="367"/>
  <c r="C20" i="367"/>
  <c r="R19" i="367"/>
  <c r="P19" i="367"/>
  <c r="F19" i="367"/>
  <c r="C19" i="367"/>
  <c r="R18" i="367"/>
  <c r="P18" i="367"/>
  <c r="F18" i="367"/>
  <c r="C18" i="367"/>
  <c r="R17" i="367"/>
  <c r="P17" i="367"/>
  <c r="F17" i="367"/>
  <c r="C17" i="367"/>
  <c r="R16" i="367"/>
  <c r="P16" i="367"/>
  <c r="F16" i="367"/>
  <c r="C16" i="367"/>
  <c r="P15" i="367"/>
  <c r="F15" i="367"/>
  <c r="C15" i="367"/>
  <c r="P14" i="367"/>
  <c r="F14" i="367"/>
  <c r="C14" i="367"/>
  <c r="P13" i="367"/>
  <c r="F13" i="367"/>
  <c r="C13" i="367"/>
  <c r="R12" i="367"/>
  <c r="P12" i="367"/>
  <c r="H12" i="367"/>
  <c r="F12" i="367"/>
  <c r="R11" i="367"/>
  <c r="P11" i="367"/>
  <c r="H11" i="367"/>
  <c r="F11" i="367"/>
  <c r="R10" i="367"/>
  <c r="P10" i="367"/>
  <c r="H10" i="367"/>
  <c r="F10" i="367"/>
  <c r="R9" i="367"/>
  <c r="P9" i="367"/>
  <c r="H9" i="367"/>
  <c r="F9" i="367"/>
  <c r="R8" i="367"/>
  <c r="P8" i="367"/>
  <c r="H8" i="367"/>
  <c r="F8" i="367"/>
  <c r="R7" i="367"/>
  <c r="P7" i="367"/>
  <c r="H7" i="367"/>
  <c r="F7" i="367"/>
  <c r="R6" i="367"/>
  <c r="P6" i="367"/>
  <c r="H6" i="367"/>
  <c r="F6" i="367"/>
  <c r="R5" i="367"/>
  <c r="P5" i="367"/>
  <c r="H5" i="367"/>
  <c r="F5" i="367"/>
  <c r="P4" i="367"/>
  <c r="H4" i="367"/>
  <c r="F4" i="367"/>
  <c r="B1" i="367"/>
  <c r="S169" i="366"/>
  <c r="B166" i="366"/>
  <c r="B165" i="366"/>
  <c r="B164" i="366"/>
  <c r="B163" i="366"/>
  <c r="B162" i="366"/>
  <c r="B161" i="366"/>
  <c r="B160" i="366"/>
  <c r="B159" i="366"/>
  <c r="N151" i="366"/>
  <c r="M151" i="366"/>
  <c r="N150" i="366"/>
  <c r="M150" i="366"/>
  <c r="N149" i="366"/>
  <c r="M149" i="366"/>
  <c r="N148" i="366"/>
  <c r="M148" i="366"/>
  <c r="N147" i="366"/>
  <c r="M147" i="366"/>
  <c r="I146" i="366"/>
  <c r="I145" i="366"/>
  <c r="I144" i="366"/>
  <c r="I143" i="366"/>
  <c r="I142" i="366"/>
  <c r="I141" i="366"/>
  <c r="I140" i="366"/>
  <c r="I139" i="366"/>
  <c r="I138" i="366"/>
  <c r="I137" i="366"/>
  <c r="I136" i="366"/>
  <c r="I135" i="366"/>
  <c r="I134" i="366"/>
  <c r="I133" i="366"/>
  <c r="I132" i="366"/>
  <c r="I131" i="366"/>
  <c r="I130" i="366"/>
  <c r="I129" i="366"/>
  <c r="I128" i="366"/>
  <c r="I127" i="366"/>
  <c r="I126" i="366"/>
  <c r="I125" i="366"/>
  <c r="I124" i="366"/>
  <c r="B119" i="366"/>
  <c r="O117" i="366"/>
  <c r="K117" i="366"/>
  <c r="O116" i="366"/>
  <c r="K116" i="366"/>
  <c r="O115" i="366"/>
  <c r="K115" i="366"/>
  <c r="O114" i="366"/>
  <c r="J114" i="366"/>
  <c r="K114" i="366" s="1"/>
  <c r="O113" i="366"/>
  <c r="K113" i="366"/>
  <c r="J113" i="366"/>
  <c r="B113" i="366"/>
  <c r="O111" i="366"/>
  <c r="K111" i="366"/>
  <c r="O110" i="366"/>
  <c r="K110" i="366"/>
  <c r="O109" i="366"/>
  <c r="K109" i="366"/>
  <c r="O108" i="366"/>
  <c r="J108" i="366"/>
  <c r="K108" i="366" s="1"/>
  <c r="O107" i="366"/>
  <c r="J107" i="366"/>
  <c r="K107" i="366" s="1"/>
  <c r="B107" i="366"/>
  <c r="O105" i="366"/>
  <c r="K105" i="366"/>
  <c r="O104" i="366"/>
  <c r="K104" i="366"/>
  <c r="O103" i="366"/>
  <c r="K103" i="366"/>
  <c r="O102" i="366"/>
  <c r="J102" i="366"/>
  <c r="K102" i="366" s="1"/>
  <c r="O101" i="366"/>
  <c r="B104" i="366" s="1"/>
  <c r="G164" i="366" s="1"/>
  <c r="K101" i="366"/>
  <c r="J101" i="366"/>
  <c r="B101" i="366"/>
  <c r="O99" i="366"/>
  <c r="K99" i="366"/>
  <c r="O98" i="366"/>
  <c r="K98" i="366"/>
  <c r="O97" i="366"/>
  <c r="B98" i="366" s="1"/>
  <c r="G163" i="366" s="1"/>
  <c r="K163" i="366" s="1"/>
  <c r="K97" i="366"/>
  <c r="O96" i="366"/>
  <c r="K96" i="366"/>
  <c r="J96" i="366"/>
  <c r="O95" i="366"/>
  <c r="J95" i="366"/>
  <c r="K95" i="366" s="1"/>
  <c r="B95" i="366"/>
  <c r="O93" i="366"/>
  <c r="K93" i="366"/>
  <c r="O92" i="366"/>
  <c r="K92" i="366"/>
  <c r="O91" i="366"/>
  <c r="K91" i="366"/>
  <c r="O90" i="366"/>
  <c r="J90" i="366"/>
  <c r="K90" i="366" s="1"/>
  <c r="O89" i="366"/>
  <c r="J89" i="366"/>
  <c r="K89" i="366" s="1"/>
  <c r="Q92" i="366" s="1"/>
  <c r="B89" i="366"/>
  <c r="O87" i="366"/>
  <c r="K87" i="366"/>
  <c r="O86" i="366"/>
  <c r="K86" i="366"/>
  <c r="O85" i="366"/>
  <c r="K85" i="366"/>
  <c r="O84" i="366"/>
  <c r="J84" i="366"/>
  <c r="K84" i="366" s="1"/>
  <c r="O83" i="366"/>
  <c r="J83" i="366"/>
  <c r="K83" i="366" s="1"/>
  <c r="B83" i="366"/>
  <c r="O81" i="366"/>
  <c r="K81" i="366"/>
  <c r="O80" i="366"/>
  <c r="K80" i="366"/>
  <c r="O79" i="366"/>
  <c r="K79" i="366"/>
  <c r="O78" i="366"/>
  <c r="J78" i="366"/>
  <c r="K78" i="366" s="1"/>
  <c r="O77" i="366"/>
  <c r="J77" i="366"/>
  <c r="K77" i="366" s="1"/>
  <c r="Q80" i="366" s="1"/>
  <c r="B77" i="366"/>
  <c r="O75" i="366"/>
  <c r="K75" i="366"/>
  <c r="O74" i="366"/>
  <c r="K74" i="366"/>
  <c r="O73" i="366"/>
  <c r="K73" i="366"/>
  <c r="O72" i="366"/>
  <c r="K72" i="366"/>
  <c r="J72" i="366"/>
  <c r="O71" i="366"/>
  <c r="J71" i="366"/>
  <c r="B71" i="366"/>
  <c r="B68" i="366"/>
  <c r="W66" i="366"/>
  <c r="U66" i="366"/>
  <c r="S66" i="366"/>
  <c r="Q66" i="366"/>
  <c r="O66" i="366"/>
  <c r="K66" i="366"/>
  <c r="I66" i="366"/>
  <c r="G66" i="366"/>
  <c r="E66" i="366"/>
  <c r="X65" i="366"/>
  <c r="V65" i="366"/>
  <c r="T65" i="366"/>
  <c r="R65" i="366"/>
  <c r="P65" i="366"/>
  <c r="L65" i="366"/>
  <c r="J65" i="366"/>
  <c r="H65" i="366"/>
  <c r="F65" i="366"/>
  <c r="X64" i="366"/>
  <c r="V64" i="366"/>
  <c r="T64" i="366"/>
  <c r="R64" i="366"/>
  <c r="P64" i="366"/>
  <c r="L64" i="366"/>
  <c r="J64" i="366"/>
  <c r="H64" i="366"/>
  <c r="F64" i="366"/>
  <c r="X63" i="366"/>
  <c r="V63" i="366"/>
  <c r="T63" i="366"/>
  <c r="R63" i="366"/>
  <c r="P63" i="366"/>
  <c r="L63" i="366"/>
  <c r="J63" i="366"/>
  <c r="H63" i="366"/>
  <c r="F63" i="366"/>
  <c r="X62" i="366"/>
  <c r="V62" i="366"/>
  <c r="T62" i="366"/>
  <c r="R62" i="366"/>
  <c r="P62" i="366"/>
  <c r="L62" i="366"/>
  <c r="J62" i="366"/>
  <c r="H62" i="366"/>
  <c r="F62" i="366"/>
  <c r="X61" i="366"/>
  <c r="V61" i="366"/>
  <c r="T61" i="366"/>
  <c r="R61" i="366"/>
  <c r="P61" i="366"/>
  <c r="L61" i="366"/>
  <c r="J61" i="366"/>
  <c r="H61" i="366"/>
  <c r="F61" i="366"/>
  <c r="X60" i="366"/>
  <c r="V60" i="366"/>
  <c r="T60" i="366"/>
  <c r="R60" i="366"/>
  <c r="P60" i="366"/>
  <c r="L60" i="366"/>
  <c r="J60" i="366"/>
  <c r="H60" i="366"/>
  <c r="F60" i="366"/>
  <c r="X59" i="366"/>
  <c r="V59" i="366"/>
  <c r="T59" i="366"/>
  <c r="R59" i="366"/>
  <c r="P59" i="366"/>
  <c r="L59" i="366"/>
  <c r="J59" i="366"/>
  <c r="H59" i="366"/>
  <c r="F59" i="366"/>
  <c r="X58" i="366"/>
  <c r="V58" i="366"/>
  <c r="T58" i="366"/>
  <c r="R58" i="366"/>
  <c r="P58" i="366"/>
  <c r="L58" i="366"/>
  <c r="J58" i="366"/>
  <c r="H58" i="366"/>
  <c r="F58" i="366"/>
  <c r="X57" i="366"/>
  <c r="V57" i="366"/>
  <c r="T57" i="366"/>
  <c r="R57" i="366"/>
  <c r="P57" i="366"/>
  <c r="L57" i="366"/>
  <c r="J57" i="366"/>
  <c r="H57" i="366"/>
  <c r="F57" i="366"/>
  <c r="X56" i="366"/>
  <c r="V56" i="366"/>
  <c r="T56" i="366"/>
  <c r="R56" i="366"/>
  <c r="P56" i="366"/>
  <c r="L56" i="366"/>
  <c r="J56" i="366"/>
  <c r="H56" i="366"/>
  <c r="F56" i="366"/>
  <c r="X55" i="366"/>
  <c r="V55" i="366"/>
  <c r="T55" i="366"/>
  <c r="R55" i="366"/>
  <c r="P55" i="366"/>
  <c r="L55" i="366"/>
  <c r="J55" i="366"/>
  <c r="H55" i="366"/>
  <c r="F55" i="366"/>
  <c r="X54" i="366"/>
  <c r="V54" i="366"/>
  <c r="T54" i="366"/>
  <c r="R54" i="366"/>
  <c r="P54" i="366"/>
  <c r="L54" i="366"/>
  <c r="J54" i="366"/>
  <c r="H54" i="366"/>
  <c r="F54" i="366"/>
  <c r="X53" i="366"/>
  <c r="V53" i="366"/>
  <c r="T53" i="366"/>
  <c r="R53" i="366"/>
  <c r="P53" i="366"/>
  <c r="L53" i="366"/>
  <c r="J53" i="366"/>
  <c r="H53" i="366"/>
  <c r="F53" i="366"/>
  <c r="X52" i="366"/>
  <c r="V52" i="366"/>
  <c r="T52" i="366"/>
  <c r="R52" i="366"/>
  <c r="P52" i="366"/>
  <c r="L52" i="366"/>
  <c r="J52" i="366"/>
  <c r="H52" i="366"/>
  <c r="F52" i="366"/>
  <c r="X51" i="366"/>
  <c r="V51" i="366"/>
  <c r="T51" i="366"/>
  <c r="R51" i="366"/>
  <c r="P51" i="366"/>
  <c r="L51" i="366"/>
  <c r="J51" i="366"/>
  <c r="H51" i="366"/>
  <c r="F51" i="366"/>
  <c r="X50" i="366"/>
  <c r="V50" i="366"/>
  <c r="T50" i="366"/>
  <c r="R50" i="366"/>
  <c r="P50" i="366"/>
  <c r="L50" i="366"/>
  <c r="J50" i="366"/>
  <c r="H50" i="366"/>
  <c r="F50" i="366"/>
  <c r="X49" i="366"/>
  <c r="V49" i="366"/>
  <c r="T49" i="366"/>
  <c r="R49" i="366"/>
  <c r="P49" i="366"/>
  <c r="L49" i="366"/>
  <c r="J49" i="366"/>
  <c r="H49" i="366"/>
  <c r="F49" i="366"/>
  <c r="X48" i="366"/>
  <c r="V48" i="366"/>
  <c r="T48" i="366"/>
  <c r="R48" i="366"/>
  <c r="P48" i="366"/>
  <c r="L48" i="366"/>
  <c r="J48" i="366"/>
  <c r="H48" i="366"/>
  <c r="F48" i="366"/>
  <c r="X47" i="366"/>
  <c r="V47" i="366"/>
  <c r="T47" i="366"/>
  <c r="R47" i="366"/>
  <c r="P47" i="366"/>
  <c r="L47" i="366"/>
  <c r="J47" i="366"/>
  <c r="H47" i="366"/>
  <c r="F47" i="366"/>
  <c r="X46" i="366"/>
  <c r="V46" i="366"/>
  <c r="T46" i="366"/>
  <c r="R46" i="366"/>
  <c r="P46" i="366"/>
  <c r="L46" i="366"/>
  <c r="J46" i="366"/>
  <c r="H46" i="366"/>
  <c r="F46" i="366"/>
  <c r="X45" i="366"/>
  <c r="V45" i="366"/>
  <c r="T45" i="366"/>
  <c r="R45" i="366"/>
  <c r="P45" i="366"/>
  <c r="L45" i="366"/>
  <c r="J45" i="366"/>
  <c r="H45" i="366"/>
  <c r="F45" i="366"/>
  <c r="X44" i="366"/>
  <c r="V44" i="366"/>
  <c r="T44" i="366"/>
  <c r="R44" i="366"/>
  <c r="P44" i="366"/>
  <c r="L44" i="366"/>
  <c r="J44" i="366"/>
  <c r="H44" i="366"/>
  <c r="F44" i="366"/>
  <c r="X43" i="366"/>
  <c r="V43" i="366"/>
  <c r="T43" i="366"/>
  <c r="R43" i="366"/>
  <c r="P43" i="366"/>
  <c r="L43" i="366"/>
  <c r="J43" i="366"/>
  <c r="H43" i="366"/>
  <c r="F43" i="366"/>
  <c r="X42" i="366"/>
  <c r="V42" i="366"/>
  <c r="T42" i="366"/>
  <c r="R42" i="366"/>
  <c r="P42" i="366"/>
  <c r="L42" i="366"/>
  <c r="J42" i="366"/>
  <c r="H42" i="366"/>
  <c r="F42" i="366"/>
  <c r="X41" i="366"/>
  <c r="V41" i="366"/>
  <c r="T41" i="366"/>
  <c r="R41" i="366"/>
  <c r="P41" i="366"/>
  <c r="L41" i="366"/>
  <c r="J41" i="366"/>
  <c r="H41" i="366"/>
  <c r="X40" i="366"/>
  <c r="V40" i="366"/>
  <c r="T40" i="366"/>
  <c r="R40" i="366"/>
  <c r="P40" i="366"/>
  <c r="L40" i="366"/>
  <c r="J40" i="366"/>
  <c r="H40" i="366"/>
  <c r="F40" i="366"/>
  <c r="X39" i="366"/>
  <c r="V39" i="366"/>
  <c r="T39" i="366"/>
  <c r="R39" i="366"/>
  <c r="P39" i="366"/>
  <c r="L39" i="366"/>
  <c r="J39" i="366"/>
  <c r="H39" i="366"/>
  <c r="F39" i="366"/>
  <c r="X38" i="366"/>
  <c r="V38" i="366"/>
  <c r="T38" i="366"/>
  <c r="R38" i="366"/>
  <c r="R66" i="366" s="1"/>
  <c r="I163" i="366" s="1"/>
  <c r="P38" i="366"/>
  <c r="L38" i="366"/>
  <c r="J38" i="366"/>
  <c r="H38" i="366"/>
  <c r="F38" i="366"/>
  <c r="B34" i="366"/>
  <c r="P31" i="366"/>
  <c r="H31" i="366"/>
  <c r="F31" i="366"/>
  <c r="P30" i="366"/>
  <c r="H30" i="366"/>
  <c r="F30" i="366"/>
  <c r="P29" i="366"/>
  <c r="H29" i="366"/>
  <c r="F29" i="366"/>
  <c r="P28" i="366"/>
  <c r="H28" i="366"/>
  <c r="F28" i="366"/>
  <c r="P27" i="366"/>
  <c r="H27" i="366"/>
  <c r="F27" i="366"/>
  <c r="P26" i="366"/>
  <c r="H26" i="366"/>
  <c r="F26" i="366"/>
  <c r="P25" i="366"/>
  <c r="H25" i="366"/>
  <c r="F25" i="366"/>
  <c r="R24" i="366"/>
  <c r="P24" i="366"/>
  <c r="H24" i="366"/>
  <c r="F24" i="366"/>
  <c r="P23" i="366"/>
  <c r="H23" i="366"/>
  <c r="F23" i="366"/>
  <c r="R22" i="366"/>
  <c r="P22" i="366"/>
  <c r="F22" i="366"/>
  <c r="R21" i="366"/>
  <c r="P21" i="366"/>
  <c r="F21" i="366"/>
  <c r="C21" i="366"/>
  <c r="R20" i="366"/>
  <c r="P20" i="366"/>
  <c r="F20" i="366"/>
  <c r="C20" i="366"/>
  <c r="R19" i="366"/>
  <c r="P19" i="366"/>
  <c r="F19" i="366"/>
  <c r="C19" i="366"/>
  <c r="R18" i="366"/>
  <c r="P18" i="366"/>
  <c r="F18" i="366"/>
  <c r="C18" i="366"/>
  <c r="R17" i="366"/>
  <c r="P17" i="366"/>
  <c r="F17" i="366"/>
  <c r="C17" i="366"/>
  <c r="R16" i="366"/>
  <c r="P16" i="366"/>
  <c r="F16" i="366"/>
  <c r="C16" i="366"/>
  <c r="P15" i="366"/>
  <c r="F15" i="366"/>
  <c r="C15" i="366"/>
  <c r="P14" i="366"/>
  <c r="F14" i="366"/>
  <c r="C14" i="366"/>
  <c r="P13" i="366"/>
  <c r="F13" i="366"/>
  <c r="C13" i="366"/>
  <c r="R12" i="366"/>
  <c r="P12" i="366"/>
  <c r="H12" i="366"/>
  <c r="F12" i="366"/>
  <c r="R11" i="366"/>
  <c r="P11" i="366"/>
  <c r="H11" i="366"/>
  <c r="F11" i="366"/>
  <c r="R10" i="366"/>
  <c r="P10" i="366"/>
  <c r="H10" i="366"/>
  <c r="F10" i="366"/>
  <c r="R9" i="366"/>
  <c r="P9" i="366"/>
  <c r="H9" i="366"/>
  <c r="F9" i="366"/>
  <c r="R8" i="366"/>
  <c r="P8" i="366"/>
  <c r="H8" i="366"/>
  <c r="F8" i="366"/>
  <c r="R7" i="366"/>
  <c r="P7" i="366"/>
  <c r="H7" i="366"/>
  <c r="F7" i="366"/>
  <c r="R6" i="366"/>
  <c r="P6" i="366"/>
  <c r="H6" i="366"/>
  <c r="F6" i="366"/>
  <c r="R5" i="366"/>
  <c r="P5" i="366"/>
  <c r="H5" i="366"/>
  <c r="F5" i="366"/>
  <c r="P4" i="366"/>
  <c r="H4" i="366"/>
  <c r="F4" i="366"/>
  <c r="B1" i="366"/>
  <c r="S169" i="365"/>
  <c r="B166" i="365"/>
  <c r="B165" i="365"/>
  <c r="B164" i="365"/>
  <c r="B163" i="365"/>
  <c r="B162" i="365"/>
  <c r="B161" i="365"/>
  <c r="B160" i="365"/>
  <c r="B159" i="365"/>
  <c r="N151" i="365"/>
  <c r="M151" i="365"/>
  <c r="N150" i="365"/>
  <c r="M150" i="365"/>
  <c r="N149" i="365"/>
  <c r="M149" i="365"/>
  <c r="N148" i="365"/>
  <c r="M148" i="365"/>
  <c r="N147" i="365"/>
  <c r="M147" i="365"/>
  <c r="I146" i="365"/>
  <c r="I145" i="365"/>
  <c r="I144" i="365"/>
  <c r="I143" i="365"/>
  <c r="I142" i="365"/>
  <c r="I141" i="365"/>
  <c r="I140" i="365"/>
  <c r="I139" i="365"/>
  <c r="I138" i="365"/>
  <c r="I137" i="365"/>
  <c r="I136" i="365"/>
  <c r="I135" i="365"/>
  <c r="I134" i="365"/>
  <c r="I133" i="365"/>
  <c r="I132" i="365"/>
  <c r="I131" i="365"/>
  <c r="I130" i="365"/>
  <c r="I129" i="365"/>
  <c r="I128" i="365"/>
  <c r="I127" i="365"/>
  <c r="I126" i="365"/>
  <c r="I125" i="365"/>
  <c r="I124" i="365"/>
  <c r="B119" i="365"/>
  <c r="O117" i="365"/>
  <c r="K117" i="365"/>
  <c r="O116" i="365"/>
  <c r="K116" i="365"/>
  <c r="O115" i="365"/>
  <c r="K115" i="365"/>
  <c r="O114" i="365"/>
  <c r="J114" i="365"/>
  <c r="K114" i="365" s="1"/>
  <c r="O113" i="365"/>
  <c r="J113" i="365"/>
  <c r="K113" i="365" s="1"/>
  <c r="Q116" i="365" s="1"/>
  <c r="B113" i="365"/>
  <c r="O111" i="365"/>
  <c r="K111" i="365"/>
  <c r="O110" i="365"/>
  <c r="K110" i="365"/>
  <c r="O109" i="365"/>
  <c r="K109" i="365"/>
  <c r="O108" i="365"/>
  <c r="K108" i="365"/>
  <c r="J108" i="365"/>
  <c r="O107" i="365"/>
  <c r="J107" i="365"/>
  <c r="K107" i="365" s="1"/>
  <c r="B107" i="365"/>
  <c r="O105" i="365"/>
  <c r="K105" i="365"/>
  <c r="O104" i="365"/>
  <c r="K104" i="365"/>
  <c r="O103" i="365"/>
  <c r="K103" i="365"/>
  <c r="O102" i="365"/>
  <c r="J102" i="365"/>
  <c r="K102" i="365" s="1"/>
  <c r="O101" i="365"/>
  <c r="J101" i="365"/>
  <c r="K101" i="365" s="1"/>
  <c r="B101" i="365"/>
  <c r="O99" i="365"/>
  <c r="K99" i="365"/>
  <c r="O98" i="365"/>
  <c r="K98" i="365"/>
  <c r="O97" i="365"/>
  <c r="K97" i="365"/>
  <c r="O96" i="365"/>
  <c r="J96" i="365"/>
  <c r="K96" i="365" s="1"/>
  <c r="O95" i="365"/>
  <c r="J95" i="365"/>
  <c r="K95" i="365" s="1"/>
  <c r="B95" i="365"/>
  <c r="O93" i="365"/>
  <c r="K93" i="365"/>
  <c r="O92" i="365"/>
  <c r="K92" i="365"/>
  <c r="O91" i="365"/>
  <c r="K91" i="365"/>
  <c r="O90" i="365"/>
  <c r="J90" i="365"/>
  <c r="K90" i="365" s="1"/>
  <c r="O89" i="365"/>
  <c r="J89" i="365"/>
  <c r="K89" i="365" s="1"/>
  <c r="B89" i="365"/>
  <c r="O87" i="365"/>
  <c r="K87" i="365"/>
  <c r="O86" i="365"/>
  <c r="K86" i="365"/>
  <c r="O85" i="365"/>
  <c r="K85" i="365"/>
  <c r="O84" i="365"/>
  <c r="J84" i="365"/>
  <c r="K84" i="365" s="1"/>
  <c r="O83" i="365"/>
  <c r="J83" i="365"/>
  <c r="K83" i="365" s="1"/>
  <c r="B83" i="365"/>
  <c r="O81" i="365"/>
  <c r="K81" i="365"/>
  <c r="O80" i="365"/>
  <c r="K80" i="365"/>
  <c r="O79" i="365"/>
  <c r="K79" i="365"/>
  <c r="O78" i="365"/>
  <c r="J78" i="365"/>
  <c r="K78" i="365" s="1"/>
  <c r="O77" i="365"/>
  <c r="J77" i="365"/>
  <c r="K77" i="365" s="1"/>
  <c r="Q80" i="365" s="1"/>
  <c r="B77" i="365"/>
  <c r="O75" i="365"/>
  <c r="K75" i="365"/>
  <c r="O74" i="365"/>
  <c r="K74" i="365"/>
  <c r="O73" i="365"/>
  <c r="K73" i="365"/>
  <c r="O72" i="365"/>
  <c r="J72" i="365"/>
  <c r="O71" i="365"/>
  <c r="J71" i="365"/>
  <c r="K71" i="365" s="1"/>
  <c r="B71" i="365"/>
  <c r="B68" i="365"/>
  <c r="W66" i="365"/>
  <c r="U66" i="365"/>
  <c r="S66" i="365"/>
  <c r="Q66" i="365"/>
  <c r="O66" i="365"/>
  <c r="K66" i="365"/>
  <c r="I66" i="365"/>
  <c r="G66" i="365"/>
  <c r="E66" i="365"/>
  <c r="X65" i="365"/>
  <c r="V65" i="365"/>
  <c r="T65" i="365"/>
  <c r="R65" i="365"/>
  <c r="P65" i="365"/>
  <c r="L65" i="365"/>
  <c r="J65" i="365"/>
  <c r="H65" i="365"/>
  <c r="F65" i="365"/>
  <c r="X64" i="365"/>
  <c r="V64" i="365"/>
  <c r="T64" i="365"/>
  <c r="R64" i="365"/>
  <c r="P64" i="365"/>
  <c r="L64" i="365"/>
  <c r="J64" i="365"/>
  <c r="H64" i="365"/>
  <c r="F64" i="365"/>
  <c r="X63" i="365"/>
  <c r="V63" i="365"/>
  <c r="T63" i="365"/>
  <c r="R63" i="365"/>
  <c r="P63" i="365"/>
  <c r="L63" i="365"/>
  <c r="J63" i="365"/>
  <c r="H63" i="365"/>
  <c r="F63" i="365"/>
  <c r="X62" i="365"/>
  <c r="V62" i="365"/>
  <c r="T62" i="365"/>
  <c r="R62" i="365"/>
  <c r="P62" i="365"/>
  <c r="L62" i="365"/>
  <c r="J62" i="365"/>
  <c r="H62" i="365"/>
  <c r="F62" i="365"/>
  <c r="X61" i="365"/>
  <c r="V61" i="365"/>
  <c r="T61" i="365"/>
  <c r="R61" i="365"/>
  <c r="P61" i="365"/>
  <c r="L61" i="365"/>
  <c r="J61" i="365"/>
  <c r="H61" i="365"/>
  <c r="F61" i="365"/>
  <c r="X60" i="365"/>
  <c r="V60" i="365"/>
  <c r="T60" i="365"/>
  <c r="R60" i="365"/>
  <c r="P60" i="365"/>
  <c r="L60" i="365"/>
  <c r="J60" i="365"/>
  <c r="H60" i="365"/>
  <c r="F60" i="365"/>
  <c r="X59" i="365"/>
  <c r="V59" i="365"/>
  <c r="T59" i="365"/>
  <c r="R59" i="365"/>
  <c r="P59" i="365"/>
  <c r="L59" i="365"/>
  <c r="J59" i="365"/>
  <c r="H59" i="365"/>
  <c r="F59" i="365"/>
  <c r="X58" i="365"/>
  <c r="V58" i="365"/>
  <c r="T58" i="365"/>
  <c r="R58" i="365"/>
  <c r="P58" i="365"/>
  <c r="L58" i="365"/>
  <c r="J58" i="365"/>
  <c r="H58" i="365"/>
  <c r="F58" i="365"/>
  <c r="X57" i="365"/>
  <c r="V57" i="365"/>
  <c r="T57" i="365"/>
  <c r="R57" i="365"/>
  <c r="P57" i="365"/>
  <c r="L57" i="365"/>
  <c r="J57" i="365"/>
  <c r="H57" i="365"/>
  <c r="F57" i="365"/>
  <c r="X56" i="365"/>
  <c r="V56" i="365"/>
  <c r="T56" i="365"/>
  <c r="R56" i="365"/>
  <c r="P56" i="365"/>
  <c r="L56" i="365"/>
  <c r="J56" i="365"/>
  <c r="H56" i="365"/>
  <c r="F56" i="365"/>
  <c r="X55" i="365"/>
  <c r="V55" i="365"/>
  <c r="T55" i="365"/>
  <c r="R55" i="365"/>
  <c r="P55" i="365"/>
  <c r="L55" i="365"/>
  <c r="J55" i="365"/>
  <c r="H55" i="365"/>
  <c r="F55" i="365"/>
  <c r="X54" i="365"/>
  <c r="V54" i="365"/>
  <c r="T54" i="365"/>
  <c r="R54" i="365"/>
  <c r="P54" i="365"/>
  <c r="L54" i="365"/>
  <c r="J54" i="365"/>
  <c r="H54" i="365"/>
  <c r="F54" i="365"/>
  <c r="X53" i="365"/>
  <c r="V53" i="365"/>
  <c r="T53" i="365"/>
  <c r="R53" i="365"/>
  <c r="P53" i="365"/>
  <c r="L53" i="365"/>
  <c r="J53" i="365"/>
  <c r="H53" i="365"/>
  <c r="F53" i="365"/>
  <c r="X52" i="365"/>
  <c r="V52" i="365"/>
  <c r="T52" i="365"/>
  <c r="R52" i="365"/>
  <c r="P52" i="365"/>
  <c r="L52" i="365"/>
  <c r="J52" i="365"/>
  <c r="H52" i="365"/>
  <c r="F52" i="365"/>
  <c r="X51" i="365"/>
  <c r="V51" i="365"/>
  <c r="T51" i="365"/>
  <c r="R51" i="365"/>
  <c r="P51" i="365"/>
  <c r="L51" i="365"/>
  <c r="J51" i="365"/>
  <c r="H51" i="365"/>
  <c r="F51" i="365"/>
  <c r="X50" i="365"/>
  <c r="V50" i="365"/>
  <c r="T50" i="365"/>
  <c r="R50" i="365"/>
  <c r="P50" i="365"/>
  <c r="L50" i="365"/>
  <c r="J50" i="365"/>
  <c r="H50" i="365"/>
  <c r="F50" i="365"/>
  <c r="X49" i="365"/>
  <c r="V49" i="365"/>
  <c r="T49" i="365"/>
  <c r="R49" i="365"/>
  <c r="P49" i="365"/>
  <c r="L49" i="365"/>
  <c r="J49" i="365"/>
  <c r="H49" i="365"/>
  <c r="F49" i="365"/>
  <c r="X48" i="365"/>
  <c r="V48" i="365"/>
  <c r="T48" i="365"/>
  <c r="R48" i="365"/>
  <c r="P48" i="365"/>
  <c r="L48" i="365"/>
  <c r="J48" i="365"/>
  <c r="H48" i="365"/>
  <c r="F48" i="365"/>
  <c r="X47" i="365"/>
  <c r="V47" i="365"/>
  <c r="T47" i="365"/>
  <c r="R47" i="365"/>
  <c r="P47" i="365"/>
  <c r="L47" i="365"/>
  <c r="J47" i="365"/>
  <c r="H47" i="365"/>
  <c r="F47" i="365"/>
  <c r="X46" i="365"/>
  <c r="V46" i="365"/>
  <c r="T46" i="365"/>
  <c r="R46" i="365"/>
  <c r="P46" i="365"/>
  <c r="L46" i="365"/>
  <c r="J46" i="365"/>
  <c r="H46" i="365"/>
  <c r="F46" i="365"/>
  <c r="X45" i="365"/>
  <c r="V45" i="365"/>
  <c r="T45" i="365"/>
  <c r="R45" i="365"/>
  <c r="P45" i="365"/>
  <c r="L45" i="365"/>
  <c r="J45" i="365"/>
  <c r="H45" i="365"/>
  <c r="F45" i="365"/>
  <c r="X44" i="365"/>
  <c r="V44" i="365"/>
  <c r="T44" i="365"/>
  <c r="R44" i="365"/>
  <c r="P44" i="365"/>
  <c r="L44" i="365"/>
  <c r="J44" i="365"/>
  <c r="H44" i="365"/>
  <c r="F44" i="365"/>
  <c r="X43" i="365"/>
  <c r="V43" i="365"/>
  <c r="T43" i="365"/>
  <c r="R43" i="365"/>
  <c r="P43" i="365"/>
  <c r="L43" i="365"/>
  <c r="J43" i="365"/>
  <c r="H43" i="365"/>
  <c r="F43" i="365"/>
  <c r="X42" i="365"/>
  <c r="V42" i="365"/>
  <c r="T42" i="365"/>
  <c r="R42" i="365"/>
  <c r="P42" i="365"/>
  <c r="L42" i="365"/>
  <c r="J42" i="365"/>
  <c r="H42" i="365"/>
  <c r="F42" i="365"/>
  <c r="X41" i="365"/>
  <c r="V41" i="365"/>
  <c r="T41" i="365"/>
  <c r="R41" i="365"/>
  <c r="P41" i="365"/>
  <c r="L41" i="365"/>
  <c r="J41" i="365"/>
  <c r="H41" i="365"/>
  <c r="X40" i="365"/>
  <c r="V40" i="365"/>
  <c r="T40" i="365"/>
  <c r="R40" i="365"/>
  <c r="P40" i="365"/>
  <c r="L40" i="365"/>
  <c r="J40" i="365"/>
  <c r="H40" i="365"/>
  <c r="F40" i="365"/>
  <c r="X39" i="365"/>
  <c r="V39" i="365"/>
  <c r="T39" i="365"/>
  <c r="R39" i="365"/>
  <c r="P39" i="365"/>
  <c r="L39" i="365"/>
  <c r="J39" i="365"/>
  <c r="H39" i="365"/>
  <c r="F39" i="365"/>
  <c r="X38" i="365"/>
  <c r="V38" i="365"/>
  <c r="T38" i="365"/>
  <c r="R38" i="365"/>
  <c r="P38" i="365"/>
  <c r="L38" i="365"/>
  <c r="J38" i="365"/>
  <c r="H38" i="365"/>
  <c r="F38" i="365"/>
  <c r="B34" i="365"/>
  <c r="P31" i="365"/>
  <c r="H31" i="365"/>
  <c r="F31" i="365"/>
  <c r="P30" i="365"/>
  <c r="H30" i="365"/>
  <c r="F30" i="365"/>
  <c r="P29" i="365"/>
  <c r="H29" i="365"/>
  <c r="F29" i="365"/>
  <c r="P28" i="365"/>
  <c r="H28" i="365"/>
  <c r="F28" i="365"/>
  <c r="P27" i="365"/>
  <c r="H27" i="365"/>
  <c r="F27" i="365"/>
  <c r="P26" i="365"/>
  <c r="H26" i="365"/>
  <c r="F26" i="365"/>
  <c r="P25" i="365"/>
  <c r="H25" i="365"/>
  <c r="F25" i="365"/>
  <c r="R24" i="365"/>
  <c r="P24" i="365"/>
  <c r="H24" i="365"/>
  <c r="F24" i="365"/>
  <c r="P23" i="365"/>
  <c r="H23" i="365"/>
  <c r="F23" i="365"/>
  <c r="R22" i="365"/>
  <c r="P22" i="365"/>
  <c r="F22" i="365"/>
  <c r="R21" i="365"/>
  <c r="P21" i="365"/>
  <c r="F21" i="365"/>
  <c r="C21" i="365"/>
  <c r="R20" i="365"/>
  <c r="P20" i="365"/>
  <c r="F20" i="365"/>
  <c r="C20" i="365"/>
  <c r="R19" i="365"/>
  <c r="P19" i="365"/>
  <c r="F19" i="365"/>
  <c r="C19" i="365"/>
  <c r="R18" i="365"/>
  <c r="P18" i="365"/>
  <c r="F18" i="365"/>
  <c r="C18" i="365"/>
  <c r="R17" i="365"/>
  <c r="P17" i="365"/>
  <c r="F17" i="365"/>
  <c r="C17" i="365"/>
  <c r="R16" i="365"/>
  <c r="P16" i="365"/>
  <c r="F16" i="365"/>
  <c r="C16" i="365"/>
  <c r="P15" i="365"/>
  <c r="F15" i="365"/>
  <c r="C15" i="365"/>
  <c r="P14" i="365"/>
  <c r="F14" i="365"/>
  <c r="C14" i="365"/>
  <c r="P13" i="365"/>
  <c r="F13" i="365"/>
  <c r="C13" i="365"/>
  <c r="R12" i="365"/>
  <c r="P12" i="365"/>
  <c r="H12" i="365"/>
  <c r="F12" i="365"/>
  <c r="R11" i="365"/>
  <c r="P11" i="365"/>
  <c r="H11" i="365"/>
  <c r="F11" i="365"/>
  <c r="R10" i="365"/>
  <c r="P10" i="365"/>
  <c r="H10" i="365"/>
  <c r="F10" i="365"/>
  <c r="R9" i="365"/>
  <c r="P9" i="365"/>
  <c r="H9" i="365"/>
  <c r="F9" i="365"/>
  <c r="R8" i="365"/>
  <c r="P8" i="365"/>
  <c r="H8" i="365"/>
  <c r="F8" i="365"/>
  <c r="R7" i="365"/>
  <c r="P7" i="365"/>
  <c r="H7" i="365"/>
  <c r="F7" i="365"/>
  <c r="R6" i="365"/>
  <c r="P6" i="365"/>
  <c r="H6" i="365"/>
  <c r="F6" i="365"/>
  <c r="R5" i="365"/>
  <c r="P5" i="365"/>
  <c r="H5" i="365"/>
  <c r="F5" i="365"/>
  <c r="P4" i="365"/>
  <c r="H4" i="365"/>
  <c r="F4" i="365"/>
  <c r="B1" i="365"/>
  <c r="S169" i="364"/>
  <c r="B166" i="364"/>
  <c r="B165" i="364"/>
  <c r="B164" i="364"/>
  <c r="B163" i="364"/>
  <c r="B162" i="364"/>
  <c r="B161" i="364"/>
  <c r="B160" i="364"/>
  <c r="B159" i="364"/>
  <c r="N151" i="364"/>
  <c r="M151" i="364"/>
  <c r="N150" i="364"/>
  <c r="M150" i="364"/>
  <c r="N149" i="364"/>
  <c r="M149" i="364"/>
  <c r="N148" i="364"/>
  <c r="M148" i="364"/>
  <c r="N147" i="364"/>
  <c r="M147" i="364"/>
  <c r="I146" i="364"/>
  <c r="I145" i="364"/>
  <c r="I144" i="364"/>
  <c r="I143" i="364"/>
  <c r="I142" i="364"/>
  <c r="I141" i="364"/>
  <c r="I140" i="364"/>
  <c r="I139" i="364"/>
  <c r="I138" i="364"/>
  <c r="I137" i="364"/>
  <c r="I136" i="364"/>
  <c r="I135" i="364"/>
  <c r="I134" i="364"/>
  <c r="I133" i="364"/>
  <c r="I132" i="364"/>
  <c r="I131" i="364"/>
  <c r="I130" i="364"/>
  <c r="I129" i="364"/>
  <c r="I128" i="364"/>
  <c r="I127" i="364"/>
  <c r="I126" i="364"/>
  <c r="I125" i="364"/>
  <c r="I124" i="364"/>
  <c r="B119" i="364"/>
  <c r="O117" i="364"/>
  <c r="K117" i="364"/>
  <c r="O116" i="364"/>
  <c r="K116" i="364"/>
  <c r="O115" i="364"/>
  <c r="K115" i="364"/>
  <c r="O114" i="364"/>
  <c r="J114" i="364"/>
  <c r="K114" i="364" s="1"/>
  <c r="O113" i="364"/>
  <c r="J113" i="364"/>
  <c r="K113" i="364" s="1"/>
  <c r="B113" i="364"/>
  <c r="O111" i="364"/>
  <c r="K111" i="364"/>
  <c r="O110" i="364"/>
  <c r="K110" i="364"/>
  <c r="O109" i="364"/>
  <c r="K109" i="364"/>
  <c r="O108" i="364"/>
  <c r="J108" i="364"/>
  <c r="K108" i="364" s="1"/>
  <c r="O107" i="364"/>
  <c r="J107" i="364"/>
  <c r="K107" i="364" s="1"/>
  <c r="Q110" i="364" s="1"/>
  <c r="B107" i="364"/>
  <c r="O105" i="364"/>
  <c r="K105" i="364"/>
  <c r="O104" i="364"/>
  <c r="K104" i="364"/>
  <c r="O103" i="364"/>
  <c r="B104" i="364" s="1"/>
  <c r="G164" i="364" s="1"/>
  <c r="K103" i="364"/>
  <c r="O102" i="364"/>
  <c r="J102" i="364"/>
  <c r="K102" i="364" s="1"/>
  <c r="O101" i="364"/>
  <c r="J101" i="364"/>
  <c r="K101" i="364" s="1"/>
  <c r="B101" i="364"/>
  <c r="O99" i="364"/>
  <c r="K99" i="364"/>
  <c r="O98" i="364"/>
  <c r="K98" i="364"/>
  <c r="O97" i="364"/>
  <c r="K97" i="364"/>
  <c r="O96" i="364"/>
  <c r="J96" i="364"/>
  <c r="K96" i="364" s="1"/>
  <c r="O95" i="364"/>
  <c r="B98" i="364" s="1"/>
  <c r="G163" i="364" s="1"/>
  <c r="K95" i="364"/>
  <c r="J95" i="364"/>
  <c r="B95" i="364"/>
  <c r="O93" i="364"/>
  <c r="K93" i="364"/>
  <c r="O92" i="364"/>
  <c r="K92" i="364"/>
  <c r="O91" i="364"/>
  <c r="K91" i="364"/>
  <c r="O90" i="364"/>
  <c r="J90" i="364"/>
  <c r="K90" i="364" s="1"/>
  <c r="O89" i="364"/>
  <c r="J89" i="364"/>
  <c r="K89" i="364" s="1"/>
  <c r="B89" i="364"/>
  <c r="O87" i="364"/>
  <c r="K87" i="364"/>
  <c r="O86" i="364"/>
  <c r="K86" i="364"/>
  <c r="O85" i="364"/>
  <c r="K85" i="364"/>
  <c r="O84" i="364"/>
  <c r="J84" i="364"/>
  <c r="K84" i="364" s="1"/>
  <c r="O83" i="364"/>
  <c r="J83" i="364"/>
  <c r="K83" i="364" s="1"/>
  <c r="B83" i="364"/>
  <c r="O81" i="364"/>
  <c r="K81" i="364"/>
  <c r="O80" i="364"/>
  <c r="K80" i="364"/>
  <c r="O79" i="364"/>
  <c r="B80" i="364" s="1"/>
  <c r="G160" i="364" s="1"/>
  <c r="K79" i="364"/>
  <c r="O78" i="364"/>
  <c r="K78" i="364"/>
  <c r="J78" i="364"/>
  <c r="O77" i="364"/>
  <c r="J77" i="364"/>
  <c r="K77" i="364" s="1"/>
  <c r="Q80" i="364" s="1"/>
  <c r="B77" i="364"/>
  <c r="O75" i="364"/>
  <c r="K75" i="364"/>
  <c r="O74" i="364"/>
  <c r="K74" i="364"/>
  <c r="O73" i="364"/>
  <c r="K73" i="364"/>
  <c r="O72" i="364"/>
  <c r="J72" i="364"/>
  <c r="I123" i="364" s="1"/>
  <c r="O71" i="364"/>
  <c r="J71" i="364"/>
  <c r="K71" i="364" s="1"/>
  <c r="B71" i="364"/>
  <c r="B68" i="364"/>
  <c r="W66" i="364"/>
  <c r="U66" i="364"/>
  <c r="S66" i="364"/>
  <c r="Q66" i="364"/>
  <c r="O66" i="364"/>
  <c r="K66" i="364"/>
  <c r="I66" i="364"/>
  <c r="G66" i="364"/>
  <c r="E66" i="364"/>
  <c r="X65" i="364"/>
  <c r="V65" i="364"/>
  <c r="T65" i="364"/>
  <c r="R65" i="364"/>
  <c r="P65" i="364"/>
  <c r="L65" i="364"/>
  <c r="J65" i="364"/>
  <c r="H65" i="364"/>
  <c r="F65" i="364"/>
  <c r="X64" i="364"/>
  <c r="V64" i="364"/>
  <c r="T64" i="364"/>
  <c r="R64" i="364"/>
  <c r="P64" i="364"/>
  <c r="L64" i="364"/>
  <c r="J64" i="364"/>
  <c r="H64" i="364"/>
  <c r="F64" i="364"/>
  <c r="X63" i="364"/>
  <c r="V63" i="364"/>
  <c r="T63" i="364"/>
  <c r="R63" i="364"/>
  <c r="P63" i="364"/>
  <c r="L63" i="364"/>
  <c r="J63" i="364"/>
  <c r="H63" i="364"/>
  <c r="F63" i="364"/>
  <c r="X62" i="364"/>
  <c r="V62" i="364"/>
  <c r="T62" i="364"/>
  <c r="R62" i="364"/>
  <c r="P62" i="364"/>
  <c r="L62" i="364"/>
  <c r="J62" i="364"/>
  <c r="H62" i="364"/>
  <c r="F62" i="364"/>
  <c r="X61" i="364"/>
  <c r="V61" i="364"/>
  <c r="T61" i="364"/>
  <c r="R61" i="364"/>
  <c r="P61" i="364"/>
  <c r="L61" i="364"/>
  <c r="J61" i="364"/>
  <c r="H61" i="364"/>
  <c r="F61" i="364"/>
  <c r="X60" i="364"/>
  <c r="V60" i="364"/>
  <c r="T60" i="364"/>
  <c r="R60" i="364"/>
  <c r="P60" i="364"/>
  <c r="L60" i="364"/>
  <c r="J60" i="364"/>
  <c r="H60" i="364"/>
  <c r="F60" i="364"/>
  <c r="X59" i="364"/>
  <c r="V59" i="364"/>
  <c r="T59" i="364"/>
  <c r="R59" i="364"/>
  <c r="P59" i="364"/>
  <c r="L59" i="364"/>
  <c r="J59" i="364"/>
  <c r="H59" i="364"/>
  <c r="F59" i="364"/>
  <c r="X58" i="364"/>
  <c r="V58" i="364"/>
  <c r="T58" i="364"/>
  <c r="R58" i="364"/>
  <c r="P58" i="364"/>
  <c r="L58" i="364"/>
  <c r="J58" i="364"/>
  <c r="H58" i="364"/>
  <c r="F58" i="364"/>
  <c r="X57" i="364"/>
  <c r="V57" i="364"/>
  <c r="T57" i="364"/>
  <c r="R57" i="364"/>
  <c r="P57" i="364"/>
  <c r="L57" i="364"/>
  <c r="J57" i="364"/>
  <c r="H57" i="364"/>
  <c r="F57" i="364"/>
  <c r="X56" i="364"/>
  <c r="V56" i="364"/>
  <c r="T56" i="364"/>
  <c r="R56" i="364"/>
  <c r="P56" i="364"/>
  <c r="L56" i="364"/>
  <c r="J56" i="364"/>
  <c r="H56" i="364"/>
  <c r="F56" i="364"/>
  <c r="X55" i="364"/>
  <c r="V55" i="364"/>
  <c r="T55" i="364"/>
  <c r="R55" i="364"/>
  <c r="P55" i="364"/>
  <c r="L55" i="364"/>
  <c r="J55" i="364"/>
  <c r="H55" i="364"/>
  <c r="F55" i="364"/>
  <c r="X54" i="364"/>
  <c r="V54" i="364"/>
  <c r="T54" i="364"/>
  <c r="R54" i="364"/>
  <c r="P54" i="364"/>
  <c r="L54" i="364"/>
  <c r="J54" i="364"/>
  <c r="H54" i="364"/>
  <c r="F54" i="364"/>
  <c r="X53" i="364"/>
  <c r="V53" i="364"/>
  <c r="T53" i="364"/>
  <c r="R53" i="364"/>
  <c r="P53" i="364"/>
  <c r="L53" i="364"/>
  <c r="J53" i="364"/>
  <c r="H53" i="364"/>
  <c r="F53" i="364"/>
  <c r="X52" i="364"/>
  <c r="V52" i="364"/>
  <c r="T52" i="364"/>
  <c r="R52" i="364"/>
  <c r="P52" i="364"/>
  <c r="L52" i="364"/>
  <c r="J52" i="364"/>
  <c r="H52" i="364"/>
  <c r="F52" i="364"/>
  <c r="X51" i="364"/>
  <c r="V51" i="364"/>
  <c r="T51" i="364"/>
  <c r="R51" i="364"/>
  <c r="P51" i="364"/>
  <c r="L51" i="364"/>
  <c r="J51" i="364"/>
  <c r="H51" i="364"/>
  <c r="F51" i="364"/>
  <c r="X50" i="364"/>
  <c r="V50" i="364"/>
  <c r="T50" i="364"/>
  <c r="R50" i="364"/>
  <c r="P50" i="364"/>
  <c r="L50" i="364"/>
  <c r="J50" i="364"/>
  <c r="H50" i="364"/>
  <c r="F50" i="364"/>
  <c r="X49" i="364"/>
  <c r="V49" i="364"/>
  <c r="T49" i="364"/>
  <c r="R49" i="364"/>
  <c r="P49" i="364"/>
  <c r="L49" i="364"/>
  <c r="J49" i="364"/>
  <c r="H49" i="364"/>
  <c r="F49" i="364"/>
  <c r="X48" i="364"/>
  <c r="V48" i="364"/>
  <c r="T48" i="364"/>
  <c r="R48" i="364"/>
  <c r="P48" i="364"/>
  <c r="L48" i="364"/>
  <c r="J48" i="364"/>
  <c r="H48" i="364"/>
  <c r="F48" i="364"/>
  <c r="X47" i="364"/>
  <c r="V47" i="364"/>
  <c r="T47" i="364"/>
  <c r="R47" i="364"/>
  <c r="P47" i="364"/>
  <c r="L47" i="364"/>
  <c r="J47" i="364"/>
  <c r="H47" i="364"/>
  <c r="F47" i="364"/>
  <c r="X46" i="364"/>
  <c r="V46" i="364"/>
  <c r="T46" i="364"/>
  <c r="R46" i="364"/>
  <c r="P46" i="364"/>
  <c r="L46" i="364"/>
  <c r="J46" i="364"/>
  <c r="H46" i="364"/>
  <c r="F46" i="364"/>
  <c r="X45" i="364"/>
  <c r="V45" i="364"/>
  <c r="T45" i="364"/>
  <c r="R45" i="364"/>
  <c r="P45" i="364"/>
  <c r="L45" i="364"/>
  <c r="J45" i="364"/>
  <c r="H45" i="364"/>
  <c r="F45" i="364"/>
  <c r="X44" i="364"/>
  <c r="V44" i="364"/>
  <c r="T44" i="364"/>
  <c r="R44" i="364"/>
  <c r="P44" i="364"/>
  <c r="L44" i="364"/>
  <c r="J44" i="364"/>
  <c r="H44" i="364"/>
  <c r="F44" i="364"/>
  <c r="X43" i="364"/>
  <c r="V43" i="364"/>
  <c r="T43" i="364"/>
  <c r="R43" i="364"/>
  <c r="P43" i="364"/>
  <c r="L43" i="364"/>
  <c r="J43" i="364"/>
  <c r="H43" i="364"/>
  <c r="F43" i="364"/>
  <c r="X42" i="364"/>
  <c r="V42" i="364"/>
  <c r="T42" i="364"/>
  <c r="R42" i="364"/>
  <c r="P42" i="364"/>
  <c r="L42" i="364"/>
  <c r="J42" i="364"/>
  <c r="H42" i="364"/>
  <c r="F42" i="364"/>
  <c r="X41" i="364"/>
  <c r="V41" i="364"/>
  <c r="T41" i="364"/>
  <c r="R41" i="364"/>
  <c r="P41" i="364"/>
  <c r="L41" i="364"/>
  <c r="J41" i="364"/>
  <c r="H41" i="364"/>
  <c r="X40" i="364"/>
  <c r="V40" i="364"/>
  <c r="T40" i="364"/>
  <c r="R40" i="364"/>
  <c r="P40" i="364"/>
  <c r="L40" i="364"/>
  <c r="J40" i="364"/>
  <c r="H40" i="364"/>
  <c r="F40" i="364"/>
  <c r="X39" i="364"/>
  <c r="V39" i="364"/>
  <c r="T39" i="364"/>
  <c r="R39" i="364"/>
  <c r="P39" i="364"/>
  <c r="L39" i="364"/>
  <c r="J39" i="364"/>
  <c r="H39" i="364"/>
  <c r="F39" i="364"/>
  <c r="X38" i="364"/>
  <c r="V38" i="364"/>
  <c r="T38" i="364"/>
  <c r="R38" i="364"/>
  <c r="P38" i="364"/>
  <c r="L38" i="364"/>
  <c r="J38" i="364"/>
  <c r="H38" i="364"/>
  <c r="F38" i="364"/>
  <c r="B34" i="364"/>
  <c r="P31" i="364"/>
  <c r="H31" i="364"/>
  <c r="F31" i="364"/>
  <c r="P30" i="364"/>
  <c r="H30" i="364"/>
  <c r="F30" i="364"/>
  <c r="P29" i="364"/>
  <c r="H29" i="364"/>
  <c r="F29" i="364"/>
  <c r="P28" i="364"/>
  <c r="H28" i="364"/>
  <c r="F28" i="364"/>
  <c r="P27" i="364"/>
  <c r="H27" i="364"/>
  <c r="F27" i="364"/>
  <c r="P26" i="364"/>
  <c r="H26" i="364"/>
  <c r="F26" i="364"/>
  <c r="P25" i="364"/>
  <c r="H25" i="364"/>
  <c r="F25" i="364"/>
  <c r="R24" i="364"/>
  <c r="P24" i="364"/>
  <c r="H24" i="364"/>
  <c r="F24" i="364"/>
  <c r="P23" i="364"/>
  <c r="H23" i="364"/>
  <c r="F23" i="364"/>
  <c r="R22" i="364"/>
  <c r="P22" i="364"/>
  <c r="F22" i="364"/>
  <c r="R21" i="364"/>
  <c r="P21" i="364"/>
  <c r="F21" i="364"/>
  <c r="C21" i="364"/>
  <c r="R20" i="364"/>
  <c r="P20" i="364"/>
  <c r="F20" i="364"/>
  <c r="C20" i="364"/>
  <c r="R19" i="364"/>
  <c r="P19" i="364"/>
  <c r="F19" i="364"/>
  <c r="C19" i="364"/>
  <c r="R18" i="364"/>
  <c r="P18" i="364"/>
  <c r="F18" i="364"/>
  <c r="C18" i="364"/>
  <c r="R17" i="364"/>
  <c r="P17" i="364"/>
  <c r="F17" i="364"/>
  <c r="C17" i="364"/>
  <c r="R16" i="364"/>
  <c r="P16" i="364"/>
  <c r="F16" i="364"/>
  <c r="C16" i="364"/>
  <c r="P15" i="364"/>
  <c r="F15" i="364"/>
  <c r="C15" i="364"/>
  <c r="P14" i="364"/>
  <c r="F14" i="364"/>
  <c r="C14" i="364"/>
  <c r="P13" i="364"/>
  <c r="F13" i="364"/>
  <c r="C13" i="364"/>
  <c r="R12" i="364"/>
  <c r="P12" i="364"/>
  <c r="H12" i="364"/>
  <c r="F12" i="364"/>
  <c r="R11" i="364"/>
  <c r="P11" i="364"/>
  <c r="H11" i="364"/>
  <c r="F11" i="364"/>
  <c r="R10" i="364"/>
  <c r="P10" i="364"/>
  <c r="H10" i="364"/>
  <c r="F10" i="364"/>
  <c r="R9" i="364"/>
  <c r="P9" i="364"/>
  <c r="H9" i="364"/>
  <c r="F9" i="364"/>
  <c r="R8" i="364"/>
  <c r="P8" i="364"/>
  <c r="H8" i="364"/>
  <c r="F8" i="364"/>
  <c r="R7" i="364"/>
  <c r="P7" i="364"/>
  <c r="H7" i="364"/>
  <c r="F7" i="364"/>
  <c r="R6" i="364"/>
  <c r="P6" i="364"/>
  <c r="H6" i="364"/>
  <c r="F6" i="364"/>
  <c r="R5" i="364"/>
  <c r="P5" i="364"/>
  <c r="H5" i="364"/>
  <c r="F5" i="364"/>
  <c r="P4" i="364"/>
  <c r="H4" i="364"/>
  <c r="F4" i="364"/>
  <c r="B1" i="364"/>
  <c r="Q32" i="366" l="1"/>
  <c r="V66" i="365"/>
  <c r="I165" i="365" s="1"/>
  <c r="B110" i="365"/>
  <c r="G165" i="365" s="1"/>
  <c r="K165" i="365" s="1"/>
  <c r="Q92" i="365"/>
  <c r="H66" i="365"/>
  <c r="I159" i="365" s="1"/>
  <c r="B86" i="365"/>
  <c r="G161" i="365" s="1"/>
  <c r="B86" i="364"/>
  <c r="G161" i="364" s="1"/>
  <c r="Q32" i="367"/>
  <c r="F66" i="367"/>
  <c r="X66" i="367"/>
  <c r="I166" i="367" s="1"/>
  <c r="I123" i="367"/>
  <c r="Q104" i="367"/>
  <c r="Q32" i="368"/>
  <c r="R66" i="368"/>
  <c r="I163" i="368" s="1"/>
  <c r="B80" i="368"/>
  <c r="G160" i="368" s="1"/>
  <c r="R66" i="369"/>
  <c r="I163" i="369" s="1"/>
  <c r="L66" i="369"/>
  <c r="I161" i="369" s="1"/>
  <c r="Q98" i="369"/>
  <c r="B104" i="369"/>
  <c r="G164" i="369" s="1"/>
  <c r="J66" i="370"/>
  <c r="I160" i="370" s="1"/>
  <c r="B74" i="366"/>
  <c r="G159" i="366" s="1"/>
  <c r="J66" i="364"/>
  <c r="I160" i="364" s="1"/>
  <c r="H66" i="364"/>
  <c r="I159" i="364" s="1"/>
  <c r="V66" i="364"/>
  <c r="I165" i="364" s="1"/>
  <c r="Q92" i="364"/>
  <c r="Q104" i="364"/>
  <c r="I122" i="365"/>
  <c r="F66" i="366"/>
  <c r="X66" i="366"/>
  <c r="I166" i="366" s="1"/>
  <c r="I123" i="366"/>
  <c r="Q110" i="366"/>
  <c r="H66" i="367"/>
  <c r="I159" i="367" s="1"/>
  <c r="Q80" i="367"/>
  <c r="T66" i="368"/>
  <c r="I164" i="368" s="1"/>
  <c r="Q80" i="368"/>
  <c r="B92" i="368"/>
  <c r="G162" i="368" s="1"/>
  <c r="B104" i="368"/>
  <c r="G164" i="368" s="1"/>
  <c r="T66" i="369"/>
  <c r="I164" i="369" s="1"/>
  <c r="B80" i="369"/>
  <c r="G160" i="369" s="1"/>
  <c r="B98" i="369"/>
  <c r="G163" i="369" s="1"/>
  <c r="L66" i="370"/>
  <c r="I161" i="370" s="1"/>
  <c r="Q98" i="364"/>
  <c r="B74" i="364"/>
  <c r="G159" i="364" s="1"/>
  <c r="B92" i="364"/>
  <c r="G162" i="364" s="1"/>
  <c r="B110" i="364"/>
  <c r="G165" i="364" s="1"/>
  <c r="Q116" i="364"/>
  <c r="R66" i="365"/>
  <c r="I163" i="365" s="1"/>
  <c r="L66" i="365"/>
  <c r="I161" i="365" s="1"/>
  <c r="K161" i="365" s="1"/>
  <c r="Q98" i="365"/>
  <c r="B104" i="365"/>
  <c r="G164" i="365" s="1"/>
  <c r="H66" i="366"/>
  <c r="I159" i="366" s="1"/>
  <c r="K159" i="366" s="1"/>
  <c r="J66" i="367"/>
  <c r="I160" i="367" s="1"/>
  <c r="B116" i="367"/>
  <c r="G166" i="367" s="1"/>
  <c r="G32" i="368"/>
  <c r="V66" i="368"/>
  <c r="I165" i="368" s="1"/>
  <c r="I122" i="368"/>
  <c r="Q104" i="368"/>
  <c r="B116" i="368"/>
  <c r="G166" i="368" s="1"/>
  <c r="G32" i="369"/>
  <c r="Q32" i="369"/>
  <c r="B74" i="369"/>
  <c r="G159" i="369" s="1"/>
  <c r="P66" i="370"/>
  <c r="I162" i="370" s="1"/>
  <c r="B80" i="370"/>
  <c r="G160" i="370" s="1"/>
  <c r="Q110" i="369"/>
  <c r="Q116" i="366"/>
  <c r="P66" i="364"/>
  <c r="I162" i="364" s="1"/>
  <c r="B116" i="364"/>
  <c r="G166" i="364" s="1"/>
  <c r="T66" i="365"/>
  <c r="I164" i="365" s="1"/>
  <c r="K164" i="365" s="1"/>
  <c r="B80" i="365"/>
  <c r="G160" i="365" s="1"/>
  <c r="B98" i="365"/>
  <c r="G163" i="365" s="1"/>
  <c r="L66" i="367"/>
  <c r="I161" i="367" s="1"/>
  <c r="B92" i="367"/>
  <c r="G162" i="367" s="1"/>
  <c r="Q110" i="367"/>
  <c r="F66" i="368"/>
  <c r="X66" i="368"/>
  <c r="I166" i="368" s="1"/>
  <c r="B74" i="368"/>
  <c r="G159" i="368" s="1"/>
  <c r="Q98" i="368"/>
  <c r="Q110" i="368"/>
  <c r="F66" i="369"/>
  <c r="X66" i="369"/>
  <c r="I166" i="369" s="1"/>
  <c r="I123" i="369"/>
  <c r="Q104" i="369"/>
  <c r="Q32" i="370"/>
  <c r="R66" i="370"/>
  <c r="I163" i="370" s="1"/>
  <c r="Q80" i="370"/>
  <c r="B92" i="370"/>
  <c r="G162" i="370" s="1"/>
  <c r="B104" i="370"/>
  <c r="G164" i="370" s="1"/>
  <c r="Q116" i="370"/>
  <c r="J66" i="365"/>
  <c r="I160" i="365" s="1"/>
  <c r="K160" i="365" s="1"/>
  <c r="V66" i="366"/>
  <c r="I165" i="366" s="1"/>
  <c r="G32" i="365"/>
  <c r="Q32" i="365"/>
  <c r="B74" i="365"/>
  <c r="G159" i="365" s="1"/>
  <c r="L66" i="366"/>
  <c r="I161" i="366" s="1"/>
  <c r="P66" i="367"/>
  <c r="I162" i="367" s="1"/>
  <c r="Q86" i="367"/>
  <c r="H66" i="368"/>
  <c r="I159" i="368" s="1"/>
  <c r="I123" i="368"/>
  <c r="B98" i="368"/>
  <c r="G163" i="368" s="1"/>
  <c r="O167" i="368" s="1"/>
  <c r="S168" i="368" s="1"/>
  <c r="H66" i="369"/>
  <c r="I159" i="369" s="1"/>
  <c r="V66" i="369"/>
  <c r="I165" i="369" s="1"/>
  <c r="Q80" i="369"/>
  <c r="T66" i="370"/>
  <c r="I164" i="370" s="1"/>
  <c r="Q86" i="370"/>
  <c r="Q104" i="370"/>
  <c r="B116" i="370"/>
  <c r="G166" i="370" s="1"/>
  <c r="K166" i="370" s="1"/>
  <c r="Q32" i="364"/>
  <c r="X66" i="364"/>
  <c r="I166" i="364" s="1"/>
  <c r="G32" i="366"/>
  <c r="G32" i="364"/>
  <c r="T66" i="364"/>
  <c r="I164" i="364" s="1"/>
  <c r="R66" i="364"/>
  <c r="I163" i="364" s="1"/>
  <c r="L66" i="364"/>
  <c r="I161" i="364" s="1"/>
  <c r="K161" i="364" s="1"/>
  <c r="Q104" i="365"/>
  <c r="P66" i="366"/>
  <c r="I162" i="366" s="1"/>
  <c r="B92" i="366"/>
  <c r="G162" i="366" s="1"/>
  <c r="R66" i="367"/>
  <c r="I163" i="367" s="1"/>
  <c r="Q98" i="367"/>
  <c r="B104" i="367"/>
  <c r="G164" i="367" s="1"/>
  <c r="J66" i="368"/>
  <c r="I160" i="368" s="1"/>
  <c r="K72" i="368"/>
  <c r="Q74" i="368" s="1"/>
  <c r="J66" i="369"/>
  <c r="I160" i="369" s="1"/>
  <c r="B116" i="369"/>
  <c r="G166" i="369" s="1"/>
  <c r="G32" i="370"/>
  <c r="E167" i="370" s="1"/>
  <c r="V66" i="370"/>
  <c r="I165" i="370" s="1"/>
  <c r="K165" i="370" s="1"/>
  <c r="B74" i="370"/>
  <c r="G159" i="370" s="1"/>
  <c r="Q98" i="370"/>
  <c r="Q110" i="370"/>
  <c r="K163" i="370"/>
  <c r="F66" i="364"/>
  <c r="Q86" i="366"/>
  <c r="G32" i="367"/>
  <c r="V66" i="367"/>
  <c r="I165" i="367" s="1"/>
  <c r="P66" i="368"/>
  <c r="I162" i="368" s="1"/>
  <c r="P66" i="369"/>
  <c r="I162" i="369" s="1"/>
  <c r="Q86" i="369"/>
  <c r="H66" i="370"/>
  <c r="I159" i="370" s="1"/>
  <c r="K72" i="370"/>
  <c r="Q74" i="370" s="1"/>
  <c r="K161" i="370"/>
  <c r="K162" i="370"/>
  <c r="K164" i="370"/>
  <c r="O167" i="370"/>
  <c r="S168" i="370" s="1"/>
  <c r="K159" i="370"/>
  <c r="I122" i="370"/>
  <c r="K164" i="369"/>
  <c r="K160" i="369"/>
  <c r="Q92" i="369"/>
  <c r="K163" i="369"/>
  <c r="K165" i="369"/>
  <c r="K166" i="369"/>
  <c r="K159" i="369"/>
  <c r="O167" i="369"/>
  <c r="S168" i="369" s="1"/>
  <c r="K161" i="369"/>
  <c r="K162" i="369"/>
  <c r="I122" i="369"/>
  <c r="K72" i="369"/>
  <c r="Q74" i="369" s="1"/>
  <c r="K161" i="368"/>
  <c r="K162" i="368"/>
  <c r="K164" i="368"/>
  <c r="K165" i="368"/>
  <c r="K166" i="368"/>
  <c r="K163" i="368"/>
  <c r="K159" i="368"/>
  <c r="K83" i="368"/>
  <c r="Q86" i="368" s="1"/>
  <c r="K164" i="367"/>
  <c r="K160" i="367"/>
  <c r="Q92" i="367"/>
  <c r="K163" i="367"/>
  <c r="K165" i="367"/>
  <c r="K166" i="367"/>
  <c r="O167" i="367"/>
  <c r="S168" i="367" s="1"/>
  <c r="K159" i="367"/>
  <c r="K161" i="367"/>
  <c r="K162" i="367"/>
  <c r="I122" i="367"/>
  <c r="K72" i="367"/>
  <c r="Q74" i="367" s="1"/>
  <c r="E167" i="367" s="1"/>
  <c r="B80" i="366"/>
  <c r="G160" i="366" s="1"/>
  <c r="B86" i="366"/>
  <c r="G161" i="366" s="1"/>
  <c r="Q98" i="366"/>
  <c r="J66" i="366"/>
  <c r="I160" i="366" s="1"/>
  <c r="T66" i="366"/>
  <c r="I164" i="366" s="1"/>
  <c r="K164" i="366" s="1"/>
  <c r="K71" i="366"/>
  <c r="Q74" i="366" s="1"/>
  <c r="I122" i="366"/>
  <c r="K162" i="366"/>
  <c r="B116" i="366"/>
  <c r="G166" i="366" s="1"/>
  <c r="K166" i="366" s="1"/>
  <c r="Q104" i="366"/>
  <c r="B110" i="366"/>
  <c r="G165" i="366" s="1"/>
  <c r="K165" i="366" s="1"/>
  <c r="K159" i="365"/>
  <c r="F66" i="365"/>
  <c r="P66" i="365"/>
  <c r="I162" i="365" s="1"/>
  <c r="X66" i="365"/>
  <c r="I166" i="365" s="1"/>
  <c r="I123" i="365"/>
  <c r="B92" i="365"/>
  <c r="G162" i="365" s="1"/>
  <c r="B116" i="365"/>
  <c r="G166" i="365" s="1"/>
  <c r="O167" i="365" s="1"/>
  <c r="S168" i="365" s="1"/>
  <c r="Q86" i="365"/>
  <c r="Q110" i="365"/>
  <c r="K72" i="365"/>
  <c r="Q74" i="365" s="1"/>
  <c r="K160" i="364"/>
  <c r="K163" i="364"/>
  <c r="K166" i="364"/>
  <c r="K164" i="364"/>
  <c r="O167" i="364"/>
  <c r="S168" i="364" s="1"/>
  <c r="K159" i="364"/>
  <c r="Q86" i="364"/>
  <c r="K162" i="364"/>
  <c r="K165" i="364"/>
  <c r="I122" i="364"/>
  <c r="K72" i="364"/>
  <c r="Q74" i="364" s="1"/>
  <c r="K161" i="366" l="1"/>
  <c r="K163" i="365"/>
  <c r="K162" i="365"/>
  <c r="E167" i="364"/>
  <c r="I168" i="364" s="1"/>
  <c r="K160" i="368"/>
  <c r="E167" i="368"/>
  <c r="E167" i="369"/>
  <c r="K160" i="370"/>
  <c r="I168" i="370"/>
  <c r="I168" i="369"/>
  <c r="I168" i="368"/>
  <c r="I168" i="367"/>
  <c r="K160" i="366"/>
  <c r="O167" i="366"/>
  <c r="S168" i="366" s="1"/>
  <c r="E167" i="366"/>
  <c r="K166" i="365"/>
  <c r="E167" i="365"/>
  <c r="I168" i="366" l="1"/>
  <c r="I168" i="365"/>
  <c r="S169" i="363" l="1"/>
  <c r="B166" i="363"/>
  <c r="B165" i="363"/>
  <c r="B164" i="363"/>
  <c r="B163" i="363"/>
  <c r="B162" i="363"/>
  <c r="B161" i="363"/>
  <c r="B160" i="363"/>
  <c r="B159" i="363"/>
  <c r="N151" i="363"/>
  <c r="M151" i="363"/>
  <c r="N150" i="363"/>
  <c r="M150" i="363"/>
  <c r="N149" i="363"/>
  <c r="M149" i="363"/>
  <c r="N148" i="363"/>
  <c r="M148" i="363"/>
  <c r="N147" i="363"/>
  <c r="M147" i="363"/>
  <c r="I146" i="363"/>
  <c r="I145" i="363"/>
  <c r="I144" i="363"/>
  <c r="I143" i="363"/>
  <c r="I142" i="363"/>
  <c r="I141" i="363"/>
  <c r="I140" i="363"/>
  <c r="I139" i="363"/>
  <c r="I138" i="363"/>
  <c r="I137" i="363"/>
  <c r="I136" i="363"/>
  <c r="I135" i="363"/>
  <c r="I134" i="363"/>
  <c r="I133" i="363"/>
  <c r="I132" i="363"/>
  <c r="I131" i="363"/>
  <c r="I130" i="363"/>
  <c r="I129" i="363"/>
  <c r="I128" i="363"/>
  <c r="I127" i="363"/>
  <c r="I126" i="363"/>
  <c r="I125" i="363"/>
  <c r="I124" i="363"/>
  <c r="B119" i="363"/>
  <c r="O117" i="363"/>
  <c r="K117" i="363"/>
  <c r="O116" i="363"/>
  <c r="K116" i="363"/>
  <c r="O115" i="363"/>
  <c r="K115" i="363"/>
  <c r="O114" i="363"/>
  <c r="J114" i="363"/>
  <c r="K114" i="363" s="1"/>
  <c r="O113" i="363"/>
  <c r="J113" i="363"/>
  <c r="K113" i="363" s="1"/>
  <c r="B113" i="363"/>
  <c r="O111" i="363"/>
  <c r="K111" i="363"/>
  <c r="O110" i="363"/>
  <c r="K110" i="363"/>
  <c r="O109" i="363"/>
  <c r="K109" i="363"/>
  <c r="O108" i="363"/>
  <c r="J108" i="363"/>
  <c r="K108" i="363" s="1"/>
  <c r="O107" i="363"/>
  <c r="B110" i="363" s="1"/>
  <c r="G165" i="363" s="1"/>
  <c r="J107" i="363"/>
  <c r="K107" i="363" s="1"/>
  <c r="B107" i="363"/>
  <c r="O105" i="363"/>
  <c r="K105" i="363"/>
  <c r="O104" i="363"/>
  <c r="K104" i="363"/>
  <c r="O103" i="363"/>
  <c r="K103" i="363"/>
  <c r="O102" i="363"/>
  <c r="J102" i="363"/>
  <c r="K102" i="363" s="1"/>
  <c r="O101" i="363"/>
  <c r="J101" i="363"/>
  <c r="K101" i="363" s="1"/>
  <c r="B101" i="363"/>
  <c r="O99" i="363"/>
  <c r="K99" i="363"/>
  <c r="O98" i="363"/>
  <c r="K98" i="363"/>
  <c r="O97" i="363"/>
  <c r="K97" i="363"/>
  <c r="O96" i="363"/>
  <c r="J96" i="363"/>
  <c r="K96" i="363" s="1"/>
  <c r="O95" i="363"/>
  <c r="J95" i="363"/>
  <c r="K95" i="363" s="1"/>
  <c r="B95" i="363"/>
  <c r="O93" i="363"/>
  <c r="K93" i="363"/>
  <c r="O92" i="363"/>
  <c r="K92" i="363"/>
  <c r="O91" i="363"/>
  <c r="K91" i="363"/>
  <c r="O90" i="363"/>
  <c r="J90" i="363"/>
  <c r="K90" i="363" s="1"/>
  <c r="O89" i="363"/>
  <c r="J89" i="363"/>
  <c r="K89" i="363" s="1"/>
  <c r="B89" i="363"/>
  <c r="O87" i="363"/>
  <c r="K87" i="363"/>
  <c r="O86" i="363"/>
  <c r="K86" i="363"/>
  <c r="B86" i="363"/>
  <c r="G161" i="363" s="1"/>
  <c r="O85" i="363"/>
  <c r="K85" i="363"/>
  <c r="O84" i="363"/>
  <c r="J84" i="363"/>
  <c r="K84" i="363" s="1"/>
  <c r="O83" i="363"/>
  <c r="J83" i="363"/>
  <c r="B83" i="363"/>
  <c r="O81" i="363"/>
  <c r="K81" i="363"/>
  <c r="O80" i="363"/>
  <c r="K80" i="363"/>
  <c r="O79" i="363"/>
  <c r="K79" i="363"/>
  <c r="O78" i="363"/>
  <c r="J78" i="363"/>
  <c r="K78" i="363" s="1"/>
  <c r="Q80" i="363" s="1"/>
  <c r="O77" i="363"/>
  <c r="K77" i="363"/>
  <c r="J77" i="363"/>
  <c r="B77" i="363"/>
  <c r="O75" i="363"/>
  <c r="K75" i="363"/>
  <c r="O74" i="363"/>
  <c r="K74" i="363"/>
  <c r="O73" i="363"/>
  <c r="K73" i="363"/>
  <c r="O72" i="363"/>
  <c r="J72" i="363"/>
  <c r="K72" i="363" s="1"/>
  <c r="O71" i="363"/>
  <c r="J71" i="363"/>
  <c r="K71" i="363" s="1"/>
  <c r="B71" i="363"/>
  <c r="B68" i="363"/>
  <c r="W66" i="363"/>
  <c r="U66" i="363"/>
  <c r="S66" i="363"/>
  <c r="Q66" i="363"/>
  <c r="O66" i="363"/>
  <c r="K66" i="363"/>
  <c r="I66" i="363"/>
  <c r="G66" i="363"/>
  <c r="E66" i="363"/>
  <c r="X65" i="363"/>
  <c r="V65" i="363"/>
  <c r="T65" i="363"/>
  <c r="R65" i="363"/>
  <c r="P65" i="363"/>
  <c r="L65" i="363"/>
  <c r="J65" i="363"/>
  <c r="H65" i="363"/>
  <c r="F65" i="363"/>
  <c r="X64" i="363"/>
  <c r="V64" i="363"/>
  <c r="T64" i="363"/>
  <c r="R64" i="363"/>
  <c r="P64" i="363"/>
  <c r="L64" i="363"/>
  <c r="J64" i="363"/>
  <c r="H64" i="363"/>
  <c r="F64" i="363"/>
  <c r="X63" i="363"/>
  <c r="V63" i="363"/>
  <c r="T63" i="363"/>
  <c r="R63" i="363"/>
  <c r="P63" i="363"/>
  <c r="L63" i="363"/>
  <c r="J63" i="363"/>
  <c r="H63" i="363"/>
  <c r="F63" i="363"/>
  <c r="X62" i="363"/>
  <c r="V62" i="363"/>
  <c r="T62" i="363"/>
  <c r="R62" i="363"/>
  <c r="P62" i="363"/>
  <c r="L62" i="363"/>
  <c r="J62" i="363"/>
  <c r="H62" i="363"/>
  <c r="F62" i="363"/>
  <c r="X61" i="363"/>
  <c r="V61" i="363"/>
  <c r="T61" i="363"/>
  <c r="R61" i="363"/>
  <c r="P61" i="363"/>
  <c r="L61" i="363"/>
  <c r="J61" i="363"/>
  <c r="H61" i="363"/>
  <c r="F61" i="363"/>
  <c r="X60" i="363"/>
  <c r="V60" i="363"/>
  <c r="T60" i="363"/>
  <c r="R60" i="363"/>
  <c r="P60" i="363"/>
  <c r="L60" i="363"/>
  <c r="J60" i="363"/>
  <c r="H60" i="363"/>
  <c r="F60" i="363"/>
  <c r="X59" i="363"/>
  <c r="V59" i="363"/>
  <c r="T59" i="363"/>
  <c r="R59" i="363"/>
  <c r="P59" i="363"/>
  <c r="L59" i="363"/>
  <c r="J59" i="363"/>
  <c r="H59" i="363"/>
  <c r="F59" i="363"/>
  <c r="X58" i="363"/>
  <c r="V58" i="363"/>
  <c r="T58" i="363"/>
  <c r="R58" i="363"/>
  <c r="P58" i="363"/>
  <c r="L58" i="363"/>
  <c r="J58" i="363"/>
  <c r="H58" i="363"/>
  <c r="F58" i="363"/>
  <c r="X57" i="363"/>
  <c r="V57" i="363"/>
  <c r="T57" i="363"/>
  <c r="R57" i="363"/>
  <c r="P57" i="363"/>
  <c r="L57" i="363"/>
  <c r="J57" i="363"/>
  <c r="H57" i="363"/>
  <c r="F57" i="363"/>
  <c r="X56" i="363"/>
  <c r="V56" i="363"/>
  <c r="T56" i="363"/>
  <c r="R56" i="363"/>
  <c r="P56" i="363"/>
  <c r="L56" i="363"/>
  <c r="J56" i="363"/>
  <c r="H56" i="363"/>
  <c r="F56" i="363"/>
  <c r="X55" i="363"/>
  <c r="V55" i="363"/>
  <c r="T55" i="363"/>
  <c r="R55" i="363"/>
  <c r="P55" i="363"/>
  <c r="L55" i="363"/>
  <c r="J55" i="363"/>
  <c r="H55" i="363"/>
  <c r="F55" i="363"/>
  <c r="X54" i="363"/>
  <c r="V54" i="363"/>
  <c r="T54" i="363"/>
  <c r="R54" i="363"/>
  <c r="P54" i="363"/>
  <c r="L54" i="363"/>
  <c r="J54" i="363"/>
  <c r="H54" i="363"/>
  <c r="F54" i="363"/>
  <c r="X53" i="363"/>
  <c r="V53" i="363"/>
  <c r="T53" i="363"/>
  <c r="R53" i="363"/>
  <c r="P53" i="363"/>
  <c r="L53" i="363"/>
  <c r="J53" i="363"/>
  <c r="H53" i="363"/>
  <c r="F53" i="363"/>
  <c r="X52" i="363"/>
  <c r="V52" i="363"/>
  <c r="T52" i="363"/>
  <c r="R52" i="363"/>
  <c r="P52" i="363"/>
  <c r="L52" i="363"/>
  <c r="J52" i="363"/>
  <c r="H52" i="363"/>
  <c r="F52" i="363"/>
  <c r="X51" i="363"/>
  <c r="V51" i="363"/>
  <c r="T51" i="363"/>
  <c r="R51" i="363"/>
  <c r="P51" i="363"/>
  <c r="L51" i="363"/>
  <c r="J51" i="363"/>
  <c r="H51" i="363"/>
  <c r="F51" i="363"/>
  <c r="X50" i="363"/>
  <c r="V50" i="363"/>
  <c r="T50" i="363"/>
  <c r="R50" i="363"/>
  <c r="P50" i="363"/>
  <c r="L50" i="363"/>
  <c r="J50" i="363"/>
  <c r="H50" i="363"/>
  <c r="F50" i="363"/>
  <c r="X49" i="363"/>
  <c r="V49" i="363"/>
  <c r="T49" i="363"/>
  <c r="R49" i="363"/>
  <c r="P49" i="363"/>
  <c r="L49" i="363"/>
  <c r="J49" i="363"/>
  <c r="H49" i="363"/>
  <c r="F49" i="363"/>
  <c r="X48" i="363"/>
  <c r="V48" i="363"/>
  <c r="T48" i="363"/>
  <c r="R48" i="363"/>
  <c r="P48" i="363"/>
  <c r="L48" i="363"/>
  <c r="J48" i="363"/>
  <c r="H48" i="363"/>
  <c r="F48" i="363"/>
  <c r="X47" i="363"/>
  <c r="V47" i="363"/>
  <c r="T47" i="363"/>
  <c r="R47" i="363"/>
  <c r="P47" i="363"/>
  <c r="L47" i="363"/>
  <c r="J47" i="363"/>
  <c r="H47" i="363"/>
  <c r="F47" i="363"/>
  <c r="X46" i="363"/>
  <c r="V46" i="363"/>
  <c r="T46" i="363"/>
  <c r="R46" i="363"/>
  <c r="P46" i="363"/>
  <c r="L46" i="363"/>
  <c r="J46" i="363"/>
  <c r="H46" i="363"/>
  <c r="F46" i="363"/>
  <c r="X45" i="363"/>
  <c r="V45" i="363"/>
  <c r="T45" i="363"/>
  <c r="R45" i="363"/>
  <c r="P45" i="363"/>
  <c r="L45" i="363"/>
  <c r="J45" i="363"/>
  <c r="H45" i="363"/>
  <c r="F45" i="363"/>
  <c r="X44" i="363"/>
  <c r="V44" i="363"/>
  <c r="T44" i="363"/>
  <c r="R44" i="363"/>
  <c r="P44" i="363"/>
  <c r="L44" i="363"/>
  <c r="J44" i="363"/>
  <c r="H44" i="363"/>
  <c r="F44" i="363"/>
  <c r="X43" i="363"/>
  <c r="V43" i="363"/>
  <c r="T43" i="363"/>
  <c r="R43" i="363"/>
  <c r="P43" i="363"/>
  <c r="L43" i="363"/>
  <c r="J43" i="363"/>
  <c r="H43" i="363"/>
  <c r="F43" i="363"/>
  <c r="X42" i="363"/>
  <c r="V42" i="363"/>
  <c r="T42" i="363"/>
  <c r="R42" i="363"/>
  <c r="P42" i="363"/>
  <c r="L42" i="363"/>
  <c r="J42" i="363"/>
  <c r="H42" i="363"/>
  <c r="F42" i="363"/>
  <c r="X41" i="363"/>
  <c r="V41" i="363"/>
  <c r="T41" i="363"/>
  <c r="R41" i="363"/>
  <c r="P41" i="363"/>
  <c r="L41" i="363"/>
  <c r="J41" i="363"/>
  <c r="H41" i="363"/>
  <c r="X40" i="363"/>
  <c r="V40" i="363"/>
  <c r="T40" i="363"/>
  <c r="R40" i="363"/>
  <c r="P40" i="363"/>
  <c r="L40" i="363"/>
  <c r="J40" i="363"/>
  <c r="H40" i="363"/>
  <c r="F40" i="363"/>
  <c r="X39" i="363"/>
  <c r="V39" i="363"/>
  <c r="T39" i="363"/>
  <c r="R39" i="363"/>
  <c r="P39" i="363"/>
  <c r="L39" i="363"/>
  <c r="J39" i="363"/>
  <c r="H39" i="363"/>
  <c r="F39" i="363"/>
  <c r="X38" i="363"/>
  <c r="V38" i="363"/>
  <c r="T38" i="363"/>
  <c r="R38" i="363"/>
  <c r="P38" i="363"/>
  <c r="L38" i="363"/>
  <c r="J38" i="363"/>
  <c r="H38" i="363"/>
  <c r="F38" i="363"/>
  <c r="B34" i="363"/>
  <c r="P31" i="363"/>
  <c r="H31" i="363"/>
  <c r="F31" i="363"/>
  <c r="P30" i="363"/>
  <c r="H30" i="363"/>
  <c r="F30" i="363"/>
  <c r="P29" i="363"/>
  <c r="H29" i="363"/>
  <c r="F29" i="363"/>
  <c r="P28" i="363"/>
  <c r="H28" i="363"/>
  <c r="F28" i="363"/>
  <c r="P27" i="363"/>
  <c r="H27" i="363"/>
  <c r="F27" i="363"/>
  <c r="P26" i="363"/>
  <c r="H26" i="363"/>
  <c r="F26" i="363"/>
  <c r="P25" i="363"/>
  <c r="H25" i="363"/>
  <c r="F25" i="363"/>
  <c r="R24" i="363"/>
  <c r="P24" i="363"/>
  <c r="H24" i="363"/>
  <c r="F24" i="363"/>
  <c r="P23" i="363"/>
  <c r="H23" i="363"/>
  <c r="F23" i="363"/>
  <c r="R22" i="363"/>
  <c r="P22" i="363"/>
  <c r="F22" i="363"/>
  <c r="R21" i="363"/>
  <c r="P21" i="363"/>
  <c r="F21" i="363"/>
  <c r="C21" i="363"/>
  <c r="R20" i="363"/>
  <c r="P20" i="363"/>
  <c r="F20" i="363"/>
  <c r="C20" i="363"/>
  <c r="R19" i="363"/>
  <c r="P19" i="363"/>
  <c r="F19" i="363"/>
  <c r="C19" i="363"/>
  <c r="R18" i="363"/>
  <c r="P18" i="363"/>
  <c r="F18" i="363"/>
  <c r="C18" i="363"/>
  <c r="R17" i="363"/>
  <c r="P17" i="363"/>
  <c r="F17" i="363"/>
  <c r="C17" i="363"/>
  <c r="R16" i="363"/>
  <c r="P16" i="363"/>
  <c r="F16" i="363"/>
  <c r="C16" i="363"/>
  <c r="P15" i="363"/>
  <c r="F15" i="363"/>
  <c r="C15" i="363"/>
  <c r="P14" i="363"/>
  <c r="F14" i="363"/>
  <c r="C14" i="363"/>
  <c r="P13" i="363"/>
  <c r="F13" i="363"/>
  <c r="C13" i="363"/>
  <c r="R12" i="363"/>
  <c r="P12" i="363"/>
  <c r="H12" i="363"/>
  <c r="F12" i="363"/>
  <c r="R11" i="363"/>
  <c r="P11" i="363"/>
  <c r="H11" i="363"/>
  <c r="F11" i="363"/>
  <c r="R10" i="363"/>
  <c r="P10" i="363"/>
  <c r="H10" i="363"/>
  <c r="F10" i="363"/>
  <c r="R9" i="363"/>
  <c r="P9" i="363"/>
  <c r="H9" i="363"/>
  <c r="F9" i="363"/>
  <c r="R8" i="363"/>
  <c r="P8" i="363"/>
  <c r="H8" i="363"/>
  <c r="F8" i="363"/>
  <c r="R7" i="363"/>
  <c r="P7" i="363"/>
  <c r="H7" i="363"/>
  <c r="F7" i="363"/>
  <c r="R6" i="363"/>
  <c r="P6" i="363"/>
  <c r="H6" i="363"/>
  <c r="F6" i="363"/>
  <c r="R5" i="363"/>
  <c r="P5" i="363"/>
  <c r="H5" i="363"/>
  <c r="F5" i="363"/>
  <c r="P4" i="363"/>
  <c r="H4" i="363"/>
  <c r="F4" i="363"/>
  <c r="B1" i="363"/>
  <c r="R66" i="363" l="1"/>
  <c r="I163" i="363" s="1"/>
  <c r="L66" i="363"/>
  <c r="I161" i="363" s="1"/>
  <c r="Q92" i="363"/>
  <c r="B104" i="363"/>
  <c r="G164" i="363" s="1"/>
  <c r="P66" i="363"/>
  <c r="I162" i="363" s="1"/>
  <c r="B80" i="363"/>
  <c r="G160" i="363" s="1"/>
  <c r="B92" i="363"/>
  <c r="G162" i="363" s="1"/>
  <c r="K162" i="363" s="1"/>
  <c r="Q116" i="363"/>
  <c r="T66" i="363"/>
  <c r="I164" i="363" s="1"/>
  <c r="Q74" i="363"/>
  <c r="I122" i="363"/>
  <c r="Q104" i="363"/>
  <c r="B116" i="363"/>
  <c r="G166" i="363" s="1"/>
  <c r="K166" i="363" s="1"/>
  <c r="Q32" i="363"/>
  <c r="Q98" i="363"/>
  <c r="Q110" i="363"/>
  <c r="G32" i="363"/>
  <c r="B74" i="363"/>
  <c r="G159" i="363" s="1"/>
  <c r="F66" i="363"/>
  <c r="X66" i="363"/>
  <c r="I166" i="363" s="1"/>
  <c r="I123" i="363"/>
  <c r="B98" i="363"/>
  <c r="G163" i="363" s="1"/>
  <c r="K163" i="363" s="1"/>
  <c r="V66" i="363"/>
  <c r="I165" i="363" s="1"/>
  <c r="K165" i="363" s="1"/>
  <c r="H66" i="363"/>
  <c r="I159" i="363" s="1"/>
  <c r="J66" i="363"/>
  <c r="I160" i="363" s="1"/>
  <c r="K161" i="363"/>
  <c r="K83" i="363"/>
  <c r="Q86" i="363" s="1"/>
  <c r="K159" i="363" l="1"/>
  <c r="K164" i="363"/>
  <c r="E167" i="363"/>
  <c r="I168" i="363" s="1"/>
  <c r="K160" i="363"/>
  <c r="O167" i="363"/>
  <c r="S168" i="363" s="1"/>
  <c r="S169" i="362"/>
  <c r="B166" i="362"/>
  <c r="B165" i="362"/>
  <c r="B164" i="362"/>
  <c r="B163" i="362"/>
  <c r="B162" i="362"/>
  <c r="B161" i="362"/>
  <c r="B160" i="362"/>
  <c r="B159" i="362"/>
  <c r="N151" i="362"/>
  <c r="M151" i="362"/>
  <c r="N150" i="362"/>
  <c r="M150" i="362"/>
  <c r="N149" i="362"/>
  <c r="M149" i="362"/>
  <c r="N148" i="362"/>
  <c r="M148" i="362"/>
  <c r="N147" i="362"/>
  <c r="M147" i="362"/>
  <c r="I146" i="362"/>
  <c r="I145" i="362"/>
  <c r="I144" i="362"/>
  <c r="I143" i="362"/>
  <c r="I142" i="362"/>
  <c r="I141" i="362"/>
  <c r="I140" i="362"/>
  <c r="I139" i="362"/>
  <c r="I138" i="362"/>
  <c r="I137" i="362"/>
  <c r="I136" i="362"/>
  <c r="I135" i="362"/>
  <c r="I134" i="362"/>
  <c r="I133" i="362"/>
  <c r="I132" i="362"/>
  <c r="I131" i="362"/>
  <c r="I130" i="362"/>
  <c r="I129" i="362"/>
  <c r="I128" i="362"/>
  <c r="I127" i="362"/>
  <c r="I126" i="362"/>
  <c r="I125" i="362"/>
  <c r="I124" i="362"/>
  <c r="B119" i="362"/>
  <c r="O117" i="362"/>
  <c r="K117" i="362"/>
  <c r="O116" i="362"/>
  <c r="K116" i="362"/>
  <c r="O115" i="362"/>
  <c r="K115" i="362"/>
  <c r="O114" i="362"/>
  <c r="J114" i="362"/>
  <c r="K114" i="362" s="1"/>
  <c r="O113" i="362"/>
  <c r="J113" i="362"/>
  <c r="K113" i="362" s="1"/>
  <c r="B113" i="362"/>
  <c r="O111" i="362"/>
  <c r="K111" i="362"/>
  <c r="O110" i="362"/>
  <c r="K110" i="362"/>
  <c r="O109" i="362"/>
  <c r="K109" i="362"/>
  <c r="O108" i="362"/>
  <c r="J108" i="362"/>
  <c r="K108" i="362" s="1"/>
  <c r="O107" i="362"/>
  <c r="J107" i="362"/>
  <c r="K107" i="362" s="1"/>
  <c r="B107" i="362"/>
  <c r="O105" i="362"/>
  <c r="K105" i="362"/>
  <c r="O104" i="362"/>
  <c r="K104" i="362"/>
  <c r="O103" i="362"/>
  <c r="K103" i="362"/>
  <c r="O102" i="362"/>
  <c r="J102" i="362"/>
  <c r="K102" i="362" s="1"/>
  <c r="O101" i="362"/>
  <c r="J101" i="362"/>
  <c r="K101" i="362" s="1"/>
  <c r="B101" i="362"/>
  <c r="O99" i="362"/>
  <c r="K99" i="362"/>
  <c r="O98" i="362"/>
  <c r="K98" i="362"/>
  <c r="O97" i="362"/>
  <c r="K97" i="362"/>
  <c r="O96" i="362"/>
  <c r="J96" i="362"/>
  <c r="K96" i="362" s="1"/>
  <c r="O95" i="362"/>
  <c r="J95" i="362"/>
  <c r="K95" i="362" s="1"/>
  <c r="B95" i="362"/>
  <c r="O93" i="362"/>
  <c r="K93" i="362"/>
  <c r="O92" i="362"/>
  <c r="K92" i="362"/>
  <c r="O91" i="362"/>
  <c r="K91" i="362"/>
  <c r="O90" i="362"/>
  <c r="J90" i="362"/>
  <c r="K90" i="362" s="1"/>
  <c r="O89" i="362"/>
  <c r="J89" i="362"/>
  <c r="K89" i="362" s="1"/>
  <c r="B89" i="362"/>
  <c r="O87" i="362"/>
  <c r="K87" i="362"/>
  <c r="O86" i="362"/>
  <c r="K86" i="362"/>
  <c r="O85" i="362"/>
  <c r="K85" i="362"/>
  <c r="O84" i="362"/>
  <c r="J84" i="362"/>
  <c r="O83" i="362"/>
  <c r="J83" i="362"/>
  <c r="K83" i="362" s="1"/>
  <c r="B83" i="362"/>
  <c r="O81" i="362"/>
  <c r="K81" i="362"/>
  <c r="O80" i="362"/>
  <c r="K80" i="362"/>
  <c r="O79" i="362"/>
  <c r="K79" i="362"/>
  <c r="O78" i="362"/>
  <c r="J78" i="362"/>
  <c r="K78" i="362" s="1"/>
  <c r="O77" i="362"/>
  <c r="B80" i="362" s="1"/>
  <c r="G160" i="362" s="1"/>
  <c r="J77" i="362"/>
  <c r="K77" i="362" s="1"/>
  <c r="B77" i="362"/>
  <c r="O75" i="362"/>
  <c r="K75" i="362"/>
  <c r="O74" i="362"/>
  <c r="K74" i="362"/>
  <c r="O73" i="362"/>
  <c r="K73" i="362"/>
  <c r="O72" i="362"/>
  <c r="J72" i="362"/>
  <c r="K72" i="362" s="1"/>
  <c r="O71" i="362"/>
  <c r="J71" i="362"/>
  <c r="K71" i="362" s="1"/>
  <c r="B71" i="362"/>
  <c r="B68" i="362"/>
  <c r="W66" i="362"/>
  <c r="U66" i="362"/>
  <c r="S66" i="362"/>
  <c r="Q66" i="362"/>
  <c r="O66" i="362"/>
  <c r="K66" i="362"/>
  <c r="I66" i="362"/>
  <c r="G66" i="362"/>
  <c r="E66" i="362"/>
  <c r="X65" i="362"/>
  <c r="V65" i="362"/>
  <c r="T65" i="362"/>
  <c r="R65" i="362"/>
  <c r="P65" i="362"/>
  <c r="L65" i="362"/>
  <c r="J65" i="362"/>
  <c r="H65" i="362"/>
  <c r="F65" i="362"/>
  <c r="X64" i="362"/>
  <c r="V64" i="362"/>
  <c r="T64" i="362"/>
  <c r="R64" i="362"/>
  <c r="P64" i="362"/>
  <c r="L64" i="362"/>
  <c r="J64" i="362"/>
  <c r="H64" i="362"/>
  <c r="F64" i="362"/>
  <c r="X63" i="362"/>
  <c r="V63" i="362"/>
  <c r="T63" i="362"/>
  <c r="R63" i="362"/>
  <c r="P63" i="362"/>
  <c r="L63" i="362"/>
  <c r="J63" i="362"/>
  <c r="H63" i="362"/>
  <c r="F63" i="362"/>
  <c r="X62" i="362"/>
  <c r="V62" i="362"/>
  <c r="T62" i="362"/>
  <c r="R62" i="362"/>
  <c r="P62" i="362"/>
  <c r="L62" i="362"/>
  <c r="J62" i="362"/>
  <c r="H62" i="362"/>
  <c r="F62" i="362"/>
  <c r="X61" i="362"/>
  <c r="V61" i="362"/>
  <c r="T61" i="362"/>
  <c r="R61" i="362"/>
  <c r="P61" i="362"/>
  <c r="L61" i="362"/>
  <c r="J61" i="362"/>
  <c r="H61" i="362"/>
  <c r="F61" i="362"/>
  <c r="X60" i="362"/>
  <c r="V60" i="362"/>
  <c r="T60" i="362"/>
  <c r="R60" i="362"/>
  <c r="P60" i="362"/>
  <c r="L60" i="362"/>
  <c r="J60" i="362"/>
  <c r="H60" i="362"/>
  <c r="F60" i="362"/>
  <c r="X59" i="362"/>
  <c r="V59" i="362"/>
  <c r="T59" i="362"/>
  <c r="R59" i="362"/>
  <c r="P59" i="362"/>
  <c r="L59" i="362"/>
  <c r="J59" i="362"/>
  <c r="H59" i="362"/>
  <c r="F59" i="362"/>
  <c r="X58" i="362"/>
  <c r="V58" i="362"/>
  <c r="T58" i="362"/>
  <c r="R58" i="362"/>
  <c r="P58" i="362"/>
  <c r="L58" i="362"/>
  <c r="J58" i="362"/>
  <c r="H58" i="362"/>
  <c r="F58" i="362"/>
  <c r="X57" i="362"/>
  <c r="V57" i="362"/>
  <c r="T57" i="362"/>
  <c r="R57" i="362"/>
  <c r="P57" i="362"/>
  <c r="L57" i="362"/>
  <c r="J57" i="362"/>
  <c r="H57" i="362"/>
  <c r="F57" i="362"/>
  <c r="X56" i="362"/>
  <c r="V56" i="362"/>
  <c r="T56" i="362"/>
  <c r="R56" i="362"/>
  <c r="P56" i="362"/>
  <c r="L56" i="362"/>
  <c r="J56" i="362"/>
  <c r="H56" i="362"/>
  <c r="F56" i="362"/>
  <c r="X55" i="362"/>
  <c r="V55" i="362"/>
  <c r="T55" i="362"/>
  <c r="R55" i="362"/>
  <c r="P55" i="362"/>
  <c r="L55" i="362"/>
  <c r="J55" i="362"/>
  <c r="H55" i="362"/>
  <c r="F55" i="362"/>
  <c r="X54" i="362"/>
  <c r="V54" i="362"/>
  <c r="T54" i="362"/>
  <c r="R54" i="362"/>
  <c r="P54" i="362"/>
  <c r="L54" i="362"/>
  <c r="J54" i="362"/>
  <c r="H54" i="362"/>
  <c r="F54" i="362"/>
  <c r="X53" i="362"/>
  <c r="V53" i="362"/>
  <c r="T53" i="362"/>
  <c r="R53" i="362"/>
  <c r="P53" i="362"/>
  <c r="L53" i="362"/>
  <c r="J53" i="362"/>
  <c r="H53" i="362"/>
  <c r="F53" i="362"/>
  <c r="X52" i="362"/>
  <c r="V52" i="362"/>
  <c r="T52" i="362"/>
  <c r="R52" i="362"/>
  <c r="P52" i="362"/>
  <c r="L52" i="362"/>
  <c r="J52" i="362"/>
  <c r="H52" i="362"/>
  <c r="F52" i="362"/>
  <c r="X51" i="362"/>
  <c r="V51" i="362"/>
  <c r="T51" i="362"/>
  <c r="R51" i="362"/>
  <c r="P51" i="362"/>
  <c r="L51" i="362"/>
  <c r="J51" i="362"/>
  <c r="H51" i="362"/>
  <c r="F51" i="362"/>
  <c r="X50" i="362"/>
  <c r="V50" i="362"/>
  <c r="T50" i="362"/>
  <c r="R50" i="362"/>
  <c r="P50" i="362"/>
  <c r="L50" i="362"/>
  <c r="J50" i="362"/>
  <c r="H50" i="362"/>
  <c r="F50" i="362"/>
  <c r="X49" i="362"/>
  <c r="V49" i="362"/>
  <c r="T49" i="362"/>
  <c r="R49" i="362"/>
  <c r="P49" i="362"/>
  <c r="L49" i="362"/>
  <c r="J49" i="362"/>
  <c r="H49" i="362"/>
  <c r="F49" i="362"/>
  <c r="X48" i="362"/>
  <c r="V48" i="362"/>
  <c r="T48" i="362"/>
  <c r="R48" i="362"/>
  <c r="P48" i="362"/>
  <c r="L48" i="362"/>
  <c r="J48" i="362"/>
  <c r="H48" i="362"/>
  <c r="F48" i="362"/>
  <c r="X47" i="362"/>
  <c r="V47" i="362"/>
  <c r="T47" i="362"/>
  <c r="R47" i="362"/>
  <c r="P47" i="362"/>
  <c r="L47" i="362"/>
  <c r="J47" i="362"/>
  <c r="H47" i="362"/>
  <c r="F47" i="362"/>
  <c r="X46" i="362"/>
  <c r="V46" i="362"/>
  <c r="T46" i="362"/>
  <c r="R46" i="362"/>
  <c r="P46" i="362"/>
  <c r="L46" i="362"/>
  <c r="J46" i="362"/>
  <c r="H46" i="362"/>
  <c r="F46" i="362"/>
  <c r="X45" i="362"/>
  <c r="V45" i="362"/>
  <c r="T45" i="362"/>
  <c r="R45" i="362"/>
  <c r="P45" i="362"/>
  <c r="L45" i="362"/>
  <c r="J45" i="362"/>
  <c r="H45" i="362"/>
  <c r="F45" i="362"/>
  <c r="X44" i="362"/>
  <c r="V44" i="362"/>
  <c r="T44" i="362"/>
  <c r="R44" i="362"/>
  <c r="P44" i="362"/>
  <c r="L44" i="362"/>
  <c r="J44" i="362"/>
  <c r="H44" i="362"/>
  <c r="F44" i="362"/>
  <c r="X43" i="362"/>
  <c r="V43" i="362"/>
  <c r="T43" i="362"/>
  <c r="R43" i="362"/>
  <c r="P43" i="362"/>
  <c r="L43" i="362"/>
  <c r="J43" i="362"/>
  <c r="H43" i="362"/>
  <c r="F43" i="362"/>
  <c r="X42" i="362"/>
  <c r="V42" i="362"/>
  <c r="T42" i="362"/>
  <c r="R42" i="362"/>
  <c r="P42" i="362"/>
  <c r="L42" i="362"/>
  <c r="J42" i="362"/>
  <c r="H42" i="362"/>
  <c r="F42" i="362"/>
  <c r="X41" i="362"/>
  <c r="V41" i="362"/>
  <c r="T41" i="362"/>
  <c r="R41" i="362"/>
  <c r="P41" i="362"/>
  <c r="L41" i="362"/>
  <c r="J41" i="362"/>
  <c r="H41" i="362"/>
  <c r="X40" i="362"/>
  <c r="V40" i="362"/>
  <c r="T40" i="362"/>
  <c r="R40" i="362"/>
  <c r="P40" i="362"/>
  <c r="L40" i="362"/>
  <c r="J40" i="362"/>
  <c r="H40" i="362"/>
  <c r="F40" i="362"/>
  <c r="X39" i="362"/>
  <c r="V39" i="362"/>
  <c r="T39" i="362"/>
  <c r="R39" i="362"/>
  <c r="P39" i="362"/>
  <c r="L39" i="362"/>
  <c r="J39" i="362"/>
  <c r="H39" i="362"/>
  <c r="F39" i="362"/>
  <c r="X38" i="362"/>
  <c r="V38" i="362"/>
  <c r="T38" i="362"/>
  <c r="R38" i="362"/>
  <c r="P38" i="362"/>
  <c r="L38" i="362"/>
  <c r="J38" i="362"/>
  <c r="H38" i="362"/>
  <c r="F38" i="362"/>
  <c r="B34" i="362"/>
  <c r="P31" i="362"/>
  <c r="H31" i="362"/>
  <c r="F31" i="362"/>
  <c r="P30" i="362"/>
  <c r="H30" i="362"/>
  <c r="F30" i="362"/>
  <c r="P29" i="362"/>
  <c r="H29" i="362"/>
  <c r="F29" i="362"/>
  <c r="P28" i="362"/>
  <c r="H28" i="362"/>
  <c r="F28" i="362"/>
  <c r="P27" i="362"/>
  <c r="H27" i="362"/>
  <c r="F27" i="362"/>
  <c r="P26" i="362"/>
  <c r="H26" i="362"/>
  <c r="F26" i="362"/>
  <c r="P25" i="362"/>
  <c r="H25" i="362"/>
  <c r="F25" i="362"/>
  <c r="R24" i="362"/>
  <c r="P24" i="362"/>
  <c r="H24" i="362"/>
  <c r="F24" i="362"/>
  <c r="P23" i="362"/>
  <c r="H23" i="362"/>
  <c r="F23" i="362"/>
  <c r="R22" i="362"/>
  <c r="P22" i="362"/>
  <c r="F22" i="362"/>
  <c r="R21" i="362"/>
  <c r="P21" i="362"/>
  <c r="F21" i="362"/>
  <c r="C21" i="362"/>
  <c r="R20" i="362"/>
  <c r="P20" i="362"/>
  <c r="F20" i="362"/>
  <c r="C20" i="362"/>
  <c r="R19" i="362"/>
  <c r="P19" i="362"/>
  <c r="F19" i="362"/>
  <c r="C19" i="362"/>
  <c r="R18" i="362"/>
  <c r="P18" i="362"/>
  <c r="F18" i="362"/>
  <c r="C18" i="362"/>
  <c r="R17" i="362"/>
  <c r="P17" i="362"/>
  <c r="F17" i="362"/>
  <c r="C17" i="362"/>
  <c r="R16" i="362"/>
  <c r="P16" i="362"/>
  <c r="F16" i="362"/>
  <c r="C16" i="362"/>
  <c r="P15" i="362"/>
  <c r="F15" i="362"/>
  <c r="C15" i="362"/>
  <c r="P14" i="362"/>
  <c r="F14" i="362"/>
  <c r="C14" i="362"/>
  <c r="P13" i="362"/>
  <c r="F13" i="362"/>
  <c r="C13" i="362"/>
  <c r="R12" i="362"/>
  <c r="P12" i="362"/>
  <c r="H12" i="362"/>
  <c r="F12" i="362"/>
  <c r="R11" i="362"/>
  <c r="P11" i="362"/>
  <c r="H11" i="362"/>
  <c r="F11" i="362"/>
  <c r="R10" i="362"/>
  <c r="P10" i="362"/>
  <c r="H10" i="362"/>
  <c r="F10" i="362"/>
  <c r="R9" i="362"/>
  <c r="P9" i="362"/>
  <c r="H9" i="362"/>
  <c r="F9" i="362"/>
  <c r="R8" i="362"/>
  <c r="P8" i="362"/>
  <c r="H8" i="362"/>
  <c r="F8" i="362"/>
  <c r="R7" i="362"/>
  <c r="P7" i="362"/>
  <c r="H7" i="362"/>
  <c r="F7" i="362"/>
  <c r="R6" i="362"/>
  <c r="P6" i="362"/>
  <c r="H6" i="362"/>
  <c r="F6" i="362"/>
  <c r="R5" i="362"/>
  <c r="P5" i="362"/>
  <c r="H5" i="362"/>
  <c r="F5" i="362"/>
  <c r="P4" i="362"/>
  <c r="H4" i="362"/>
  <c r="F4" i="362"/>
  <c r="B1" i="362"/>
  <c r="L66" i="362" l="1"/>
  <c r="I161" i="362" s="1"/>
  <c r="B74" i="362"/>
  <c r="G159" i="362" s="1"/>
  <c r="Q98" i="362"/>
  <c r="I123" i="362"/>
  <c r="B104" i="362"/>
  <c r="G164" i="362" s="1"/>
  <c r="B116" i="362"/>
  <c r="G166" i="362" s="1"/>
  <c r="P66" i="362"/>
  <c r="I162" i="362" s="1"/>
  <c r="B92" i="362"/>
  <c r="G162" i="362" s="1"/>
  <c r="Q92" i="362"/>
  <c r="Q104" i="362"/>
  <c r="T66" i="362"/>
  <c r="I164" i="362" s="1"/>
  <c r="R66" i="362"/>
  <c r="I163" i="362" s="1"/>
  <c r="J66" i="362"/>
  <c r="I160" i="362" s="1"/>
  <c r="K160" i="362" s="1"/>
  <c r="H66" i="362"/>
  <c r="I159" i="362" s="1"/>
  <c r="Q74" i="362"/>
  <c r="Q110" i="362"/>
  <c r="V66" i="362"/>
  <c r="I165" i="362" s="1"/>
  <c r="B98" i="362"/>
  <c r="G163" i="362" s="1"/>
  <c r="K163" i="362" s="1"/>
  <c r="B110" i="362"/>
  <c r="G165" i="362" s="1"/>
  <c r="Q32" i="362"/>
  <c r="F66" i="362"/>
  <c r="X66" i="362"/>
  <c r="I166" i="362" s="1"/>
  <c r="B86" i="362"/>
  <c r="G161" i="362" s="1"/>
  <c r="K161" i="362" s="1"/>
  <c r="G32" i="362"/>
  <c r="K166" i="362"/>
  <c r="K162" i="362"/>
  <c r="Q80" i="362"/>
  <c r="Q116" i="362"/>
  <c r="K84" i="362"/>
  <c r="Q86" i="362" s="1"/>
  <c r="I122" i="362"/>
  <c r="K159" i="362" l="1"/>
  <c r="K165" i="362"/>
  <c r="K164" i="362"/>
  <c r="O167" i="362"/>
  <c r="S168" i="362" s="1"/>
  <c r="E167" i="362"/>
  <c r="I168" i="362" l="1"/>
  <c r="E171" i="362" l="1"/>
  <c r="E169" i="363" s="1"/>
  <c r="E171" i="363" s="1"/>
  <c r="E169" i="364" s="1"/>
  <c r="E171" i="364" s="1"/>
  <c r="E169" i="365" s="1"/>
  <c r="E171" i="365" s="1"/>
  <c r="E169" i="366" s="1"/>
  <c r="E171" i="366" s="1"/>
  <c r="E169" i="368" l="1"/>
  <c r="E171" i="368" s="1"/>
  <c r="E169" i="369" s="1"/>
  <c r="E171" i="369" s="1"/>
  <c r="E169" i="370" s="1"/>
  <c r="E171" i="370" s="1"/>
  <c r="E169" i="367"/>
  <c r="K133" i="362"/>
  <c r="E133" i="363" s="1"/>
  <c r="K133" i="363" s="1"/>
  <c r="E133" i="364" s="1"/>
  <c r="K133" i="364" s="1"/>
  <c r="K137" i="362"/>
  <c r="E137" i="363" s="1"/>
  <c r="K137" i="363" s="1"/>
  <c r="E137" i="364" s="1"/>
  <c r="K137" i="364" s="1"/>
  <c r="K139" i="362"/>
  <c r="E139" i="363" s="1"/>
  <c r="K139" i="363" s="1"/>
  <c r="E139" i="364" s="1"/>
  <c r="K139" i="364" s="1"/>
  <c r="K141" i="362"/>
  <c r="E141" i="363" s="1"/>
  <c r="K141" i="363" s="1"/>
  <c r="E141" i="364" s="1"/>
  <c r="K141" i="364" s="1"/>
  <c r="K143" i="362"/>
  <c r="E143" i="363" s="1"/>
  <c r="K143" i="363" s="1"/>
  <c r="E143" i="364" s="1"/>
  <c r="K143" i="364" s="1"/>
  <c r="K131" i="362"/>
  <c r="E131" i="363" s="1"/>
  <c r="K131" i="363" s="1"/>
  <c r="E131" i="364" s="1"/>
  <c r="K131" i="364" s="1"/>
  <c r="K145" i="362"/>
  <c r="E145" i="363" s="1"/>
  <c r="K145" i="363" s="1"/>
  <c r="E145" i="364" s="1"/>
  <c r="K145" i="364" s="1"/>
  <c r="K135" i="362"/>
  <c r="E135" i="363" s="1"/>
  <c r="K135" i="363" s="1"/>
  <c r="E135" i="364" s="1"/>
  <c r="K135" i="364" s="1"/>
  <c r="K125" i="362"/>
  <c r="E125" i="363" s="1"/>
  <c r="K125" i="363" s="1"/>
  <c r="E125" i="364" s="1"/>
  <c r="K125" i="364" s="1"/>
  <c r="K124" i="362"/>
  <c r="E124" i="363" s="1"/>
  <c r="K124" i="363" s="1"/>
  <c r="E124" i="364" s="1"/>
  <c r="K124" i="364" s="1"/>
  <c r="K128" i="362"/>
  <c r="E128" i="363" s="1"/>
  <c r="K128" i="363" s="1"/>
  <c r="E128" i="364" s="1"/>
  <c r="K128" i="364" s="1"/>
  <c r="K129" i="362"/>
  <c r="E129" i="363" s="1"/>
  <c r="K129" i="363" s="1"/>
  <c r="E129" i="364" s="1"/>
  <c r="K129" i="364" s="1"/>
  <c r="E128" i="365" l="1"/>
  <c r="K128" i="365" s="1"/>
  <c r="Q128" i="364"/>
  <c r="A128" i="364" s="1"/>
  <c r="N128" i="364"/>
  <c r="M128" i="364"/>
  <c r="E143" i="365"/>
  <c r="K143" i="365" s="1"/>
  <c r="Q143" i="364"/>
  <c r="N143" i="364"/>
  <c r="M143" i="364"/>
  <c r="E139" i="365"/>
  <c r="K139" i="365" s="1"/>
  <c r="Q139" i="364"/>
  <c r="N139" i="364"/>
  <c r="M139" i="364"/>
  <c r="E133" i="365"/>
  <c r="K133" i="365" s="1"/>
  <c r="M133" i="364"/>
  <c r="N133" i="364"/>
  <c r="Q133" i="364"/>
  <c r="E129" i="365"/>
  <c r="K129" i="365" s="1"/>
  <c r="N129" i="364"/>
  <c r="M129" i="364"/>
  <c r="Q129" i="364"/>
  <c r="A129" i="364" s="1"/>
  <c r="E124" i="365"/>
  <c r="K124" i="365" s="1"/>
  <c r="Q124" i="364"/>
  <c r="A124" i="364" s="1"/>
  <c r="N124" i="364"/>
  <c r="M124" i="364"/>
  <c r="E141" i="365"/>
  <c r="K141" i="365" s="1"/>
  <c r="N141" i="364"/>
  <c r="Q141" i="364"/>
  <c r="M141" i="364"/>
  <c r="E137" i="365"/>
  <c r="K137" i="365" s="1"/>
  <c r="Q137" i="364"/>
  <c r="M137" i="364"/>
  <c r="N137" i="364"/>
  <c r="E145" i="365"/>
  <c r="K145" i="365" s="1"/>
  <c r="Q145" i="364"/>
  <c r="M145" i="364"/>
  <c r="N145" i="364"/>
  <c r="E131" i="365"/>
  <c r="K131" i="365" s="1"/>
  <c r="N131" i="364"/>
  <c r="Q131" i="364"/>
  <c r="M131" i="364"/>
  <c r="E135" i="365"/>
  <c r="K135" i="365" s="1"/>
  <c r="Q135" i="364"/>
  <c r="N135" i="364"/>
  <c r="M135" i="364"/>
  <c r="E125" i="365"/>
  <c r="K125" i="365" s="1"/>
  <c r="N125" i="364"/>
  <c r="M125" i="364"/>
  <c r="Q125" i="364"/>
  <c r="A125" i="364" s="1"/>
  <c r="N143" i="363"/>
  <c r="M143" i="363"/>
  <c r="Q143" i="363"/>
  <c r="M141" i="363"/>
  <c r="N141" i="363"/>
  <c r="Q141" i="363"/>
  <c r="Q139" i="363"/>
  <c r="N139" i="363"/>
  <c r="M139" i="363"/>
  <c r="M137" i="363"/>
  <c r="N137" i="363"/>
  <c r="Q137" i="363"/>
  <c r="N133" i="363"/>
  <c r="Q133" i="363"/>
  <c r="M133" i="363"/>
  <c r="N135" i="363"/>
  <c r="M135" i="363"/>
  <c r="Q135" i="363"/>
  <c r="M145" i="363"/>
  <c r="Q145" i="363"/>
  <c r="N145" i="363"/>
  <c r="Q131" i="363"/>
  <c r="M131" i="363"/>
  <c r="N131" i="363"/>
  <c r="M125" i="363"/>
  <c r="Q125" i="363"/>
  <c r="A125" i="363" s="1"/>
  <c r="N125" i="363"/>
  <c r="N129" i="363"/>
  <c r="M129" i="363"/>
  <c r="Q129" i="363"/>
  <c r="A129" i="363" s="1"/>
  <c r="Q128" i="363"/>
  <c r="A128" i="363" s="1"/>
  <c r="M128" i="363"/>
  <c r="N128" i="363"/>
  <c r="N124" i="363"/>
  <c r="M124" i="363"/>
  <c r="Q124" i="363"/>
  <c r="A124" i="363" s="1"/>
  <c r="Q135" i="362"/>
  <c r="N135" i="362"/>
  <c r="M135" i="362"/>
  <c r="N141" i="362"/>
  <c r="Q141" i="362"/>
  <c r="M141" i="362"/>
  <c r="M137" i="362"/>
  <c r="N137" i="362"/>
  <c r="Q137" i="362"/>
  <c r="Q145" i="362"/>
  <c r="M145" i="362"/>
  <c r="N145" i="362"/>
  <c r="Q131" i="362"/>
  <c r="N131" i="362"/>
  <c r="M131" i="362"/>
  <c r="Q143" i="362"/>
  <c r="N143" i="362"/>
  <c r="M143" i="362"/>
  <c r="M139" i="362"/>
  <c r="Q139" i="362"/>
  <c r="N139" i="362"/>
  <c r="M133" i="362"/>
  <c r="N133" i="362"/>
  <c r="Q133" i="362"/>
  <c r="K123" i="362"/>
  <c r="E123" i="363" s="1"/>
  <c r="K123" i="363" s="1"/>
  <c r="E123" i="364" s="1"/>
  <c r="K123" i="364" s="1"/>
  <c r="Q125" i="362"/>
  <c r="A125" i="362" s="1"/>
  <c r="M125" i="362"/>
  <c r="N125" i="362"/>
  <c r="K126" i="362"/>
  <c r="E126" i="363" s="1"/>
  <c r="K126" i="363" s="1"/>
  <c r="E126" i="364" s="1"/>
  <c r="K126" i="364" s="1"/>
  <c r="Q128" i="362"/>
  <c r="A128" i="362" s="1"/>
  <c r="N128" i="362"/>
  <c r="M128" i="362"/>
  <c r="M129" i="362"/>
  <c r="N129" i="362"/>
  <c r="Q129" i="362"/>
  <c r="A129" i="362" s="1"/>
  <c r="N124" i="362"/>
  <c r="M124" i="362"/>
  <c r="Q124" i="362"/>
  <c r="A124" i="362" s="1"/>
  <c r="N123" i="364" l="1"/>
  <c r="E123" i="365"/>
  <c r="K123" i="365" s="1"/>
  <c r="Q123" i="364"/>
  <c r="A123" i="364" s="1"/>
  <c r="M123" i="364"/>
  <c r="N126" i="364"/>
  <c r="E126" i="365"/>
  <c r="K126" i="365" s="1"/>
  <c r="Q126" i="364"/>
  <c r="A126" i="364" s="1"/>
  <c r="M126" i="364"/>
  <c r="E125" i="366"/>
  <c r="K125" i="366" s="1"/>
  <c r="M125" i="365"/>
  <c r="Q125" i="365"/>
  <c r="A125" i="365" s="1"/>
  <c r="N125" i="365"/>
  <c r="E135" i="366"/>
  <c r="K135" i="366" s="1"/>
  <c r="N135" i="365"/>
  <c r="Q135" i="365"/>
  <c r="M135" i="365"/>
  <c r="M131" i="365"/>
  <c r="E131" i="366"/>
  <c r="K131" i="366" s="1"/>
  <c r="Q131" i="365"/>
  <c r="N131" i="365"/>
  <c r="E145" i="366"/>
  <c r="K145" i="366" s="1"/>
  <c r="M145" i="365"/>
  <c r="Q145" i="365"/>
  <c r="N145" i="365"/>
  <c r="E137" i="366"/>
  <c r="K137" i="366" s="1"/>
  <c r="Q137" i="365"/>
  <c r="N137" i="365"/>
  <c r="M137" i="365"/>
  <c r="E141" i="366"/>
  <c r="K141" i="366" s="1"/>
  <c r="Q141" i="365"/>
  <c r="N141" i="365"/>
  <c r="M141" i="365"/>
  <c r="M124" i="365"/>
  <c r="E124" i="366"/>
  <c r="K124" i="366" s="1"/>
  <c r="N124" i="365"/>
  <c r="Q124" i="365"/>
  <c r="A124" i="365" s="1"/>
  <c r="N129" i="365"/>
  <c r="E129" i="366"/>
  <c r="K129" i="366" s="1"/>
  <c r="M129" i="365"/>
  <c r="Q129" i="365"/>
  <c r="A129" i="365" s="1"/>
  <c r="E133" i="366"/>
  <c r="K133" i="366" s="1"/>
  <c r="M133" i="365"/>
  <c r="N133" i="365"/>
  <c r="Q133" i="365"/>
  <c r="E139" i="366"/>
  <c r="K139" i="366" s="1"/>
  <c r="N139" i="365"/>
  <c r="M139" i="365"/>
  <c r="Q139" i="365"/>
  <c r="E143" i="366"/>
  <c r="K143" i="366" s="1"/>
  <c r="N143" i="365"/>
  <c r="Q143" i="365"/>
  <c r="M143" i="365"/>
  <c r="M128" i="365"/>
  <c r="E128" i="366"/>
  <c r="K128" i="366" s="1"/>
  <c r="N128" i="365"/>
  <c r="Q128" i="365"/>
  <c r="A128" i="365" s="1"/>
  <c r="M126" i="363"/>
  <c r="Q126" i="363"/>
  <c r="A126" i="363" s="1"/>
  <c r="N126" i="363"/>
  <c r="N123" i="363"/>
  <c r="Q123" i="363"/>
  <c r="A123" i="363" s="1"/>
  <c r="M123" i="363"/>
  <c r="I171" i="362"/>
  <c r="K138" i="362"/>
  <c r="E138" i="363" s="1"/>
  <c r="K138" i="363" s="1"/>
  <c r="E138" i="364" s="1"/>
  <c r="K138" i="364" s="1"/>
  <c r="K134" i="362"/>
  <c r="E134" i="363" s="1"/>
  <c r="K134" i="363" s="1"/>
  <c r="E134" i="364" s="1"/>
  <c r="K134" i="364" s="1"/>
  <c r="K140" i="362"/>
  <c r="E140" i="363" s="1"/>
  <c r="K140" i="363" s="1"/>
  <c r="E140" i="364" s="1"/>
  <c r="K140" i="364" s="1"/>
  <c r="K142" i="362"/>
  <c r="E142" i="363" s="1"/>
  <c r="K142" i="363" s="1"/>
  <c r="E142" i="364" s="1"/>
  <c r="K142" i="364" s="1"/>
  <c r="K146" i="362"/>
  <c r="E146" i="363" s="1"/>
  <c r="K146" i="363" s="1"/>
  <c r="E146" i="364" s="1"/>
  <c r="K146" i="364" s="1"/>
  <c r="K132" i="362"/>
  <c r="E132" i="363" s="1"/>
  <c r="K132" i="363" s="1"/>
  <c r="E132" i="364" s="1"/>
  <c r="K132" i="364" s="1"/>
  <c r="K136" i="362"/>
  <c r="E136" i="363" s="1"/>
  <c r="K136" i="363" s="1"/>
  <c r="E136" i="364" s="1"/>
  <c r="K136" i="364" s="1"/>
  <c r="K144" i="362"/>
  <c r="E144" i="363" s="1"/>
  <c r="K144" i="363" s="1"/>
  <c r="E144" i="364" s="1"/>
  <c r="K144" i="364" s="1"/>
  <c r="K127" i="362"/>
  <c r="E127" i="363" s="1"/>
  <c r="K127" i="363" s="1"/>
  <c r="E127" i="364" s="1"/>
  <c r="K127" i="364" s="1"/>
  <c r="Q123" i="362"/>
  <c r="A123" i="362" s="1"/>
  <c r="M123" i="362"/>
  <c r="N123" i="362"/>
  <c r="K130" i="362"/>
  <c r="E130" i="363" s="1"/>
  <c r="K130" i="363" s="1"/>
  <c r="E130" i="364" s="1"/>
  <c r="K130" i="364" s="1"/>
  <c r="N126" i="362"/>
  <c r="M126" i="362"/>
  <c r="Q126" i="362"/>
  <c r="A126" i="362" s="1"/>
  <c r="N130" i="364" l="1"/>
  <c r="E130" i="365"/>
  <c r="K130" i="365" s="1"/>
  <c r="M130" i="364"/>
  <c r="Q130" i="364"/>
  <c r="A130" i="364" s="1"/>
  <c r="N142" i="364"/>
  <c r="E142" i="365"/>
  <c r="K142" i="365" s="1"/>
  <c r="M142" i="364"/>
  <c r="Q142" i="364"/>
  <c r="N132" i="364"/>
  <c r="E132" i="365"/>
  <c r="K132" i="365" s="1"/>
  <c r="M132" i="364"/>
  <c r="Q132" i="364"/>
  <c r="N144" i="364"/>
  <c r="E144" i="365"/>
  <c r="K144" i="365" s="1"/>
  <c r="Q144" i="364"/>
  <c r="M144" i="364"/>
  <c r="N134" i="364"/>
  <c r="E134" i="365"/>
  <c r="K134" i="365" s="1"/>
  <c r="M134" i="364"/>
  <c r="Q134" i="364"/>
  <c r="N136" i="364"/>
  <c r="E136" i="365"/>
  <c r="K136" i="365" s="1"/>
  <c r="Q136" i="364"/>
  <c r="M136" i="364"/>
  <c r="N146" i="364"/>
  <c r="E146" i="365"/>
  <c r="K146" i="365" s="1"/>
  <c r="M146" i="364"/>
  <c r="Q146" i="364"/>
  <c r="N140" i="364"/>
  <c r="E140" i="365"/>
  <c r="K140" i="365" s="1"/>
  <c r="M140" i="364"/>
  <c r="Q140" i="364"/>
  <c r="E128" i="367"/>
  <c r="K128" i="367" s="1"/>
  <c r="M128" i="366"/>
  <c r="Q128" i="366"/>
  <c r="A128" i="366" s="1"/>
  <c r="N128" i="366"/>
  <c r="M129" i="366"/>
  <c r="E129" i="367"/>
  <c r="K129" i="367" s="1"/>
  <c r="N129" i="366"/>
  <c r="Q129" i="366"/>
  <c r="A129" i="366" s="1"/>
  <c r="E124" i="367"/>
  <c r="K124" i="367" s="1"/>
  <c r="N124" i="366"/>
  <c r="M124" i="366"/>
  <c r="Q124" i="366"/>
  <c r="A124" i="366" s="1"/>
  <c r="E131" i="367"/>
  <c r="K131" i="367" s="1"/>
  <c r="M131" i="366"/>
  <c r="Q131" i="366"/>
  <c r="N131" i="366"/>
  <c r="E126" i="366"/>
  <c r="K126" i="366" s="1"/>
  <c r="Q126" i="365"/>
  <c r="A126" i="365" s="1"/>
  <c r="N126" i="365"/>
  <c r="M126" i="365"/>
  <c r="E123" i="366"/>
  <c r="K123" i="366" s="1"/>
  <c r="Q123" i="365"/>
  <c r="A123" i="365" s="1"/>
  <c r="N123" i="365"/>
  <c r="M123" i="365"/>
  <c r="E127" i="365"/>
  <c r="K127" i="365" s="1"/>
  <c r="N127" i="364"/>
  <c r="M127" i="364"/>
  <c r="Q127" i="364"/>
  <c r="A127" i="364" s="1"/>
  <c r="N138" i="364"/>
  <c r="E138" i="365"/>
  <c r="K138" i="365" s="1"/>
  <c r="M138" i="364"/>
  <c r="Q138" i="364"/>
  <c r="E143" i="367"/>
  <c r="K143" i="367" s="1"/>
  <c r="M143" i="366"/>
  <c r="Q143" i="366"/>
  <c r="N143" i="366"/>
  <c r="E139" i="367"/>
  <c r="K139" i="367" s="1"/>
  <c r="Q139" i="366"/>
  <c r="N139" i="366"/>
  <c r="M139" i="366"/>
  <c r="E133" i="367"/>
  <c r="K133" i="367" s="1"/>
  <c r="Q133" i="366"/>
  <c r="N133" i="366"/>
  <c r="M133" i="366"/>
  <c r="E141" i="367"/>
  <c r="K141" i="367" s="1"/>
  <c r="N141" i="366"/>
  <c r="M141" i="366"/>
  <c r="Q141" i="366"/>
  <c r="E137" i="367"/>
  <c r="K137" i="367" s="1"/>
  <c r="Q137" i="366"/>
  <c r="N137" i="366"/>
  <c r="M137" i="366"/>
  <c r="E145" i="367"/>
  <c r="K145" i="367" s="1"/>
  <c r="Q145" i="366"/>
  <c r="N145" i="366"/>
  <c r="M145" i="366"/>
  <c r="E135" i="367"/>
  <c r="K135" i="367" s="1"/>
  <c r="M135" i="366"/>
  <c r="Q135" i="366"/>
  <c r="N135" i="366"/>
  <c r="E125" i="367"/>
  <c r="K125" i="367" s="1"/>
  <c r="N125" i="366"/>
  <c r="M125" i="366"/>
  <c r="Q125" i="366"/>
  <c r="A125" i="366" s="1"/>
  <c r="N146" i="363"/>
  <c r="Q146" i="363"/>
  <c r="M146" i="363"/>
  <c r="Q144" i="363"/>
  <c r="N144" i="363"/>
  <c r="M144" i="363"/>
  <c r="M142" i="363"/>
  <c r="N142" i="363"/>
  <c r="Q142" i="363"/>
  <c r="M134" i="363"/>
  <c r="N134" i="363"/>
  <c r="Q134" i="363"/>
  <c r="N138" i="363"/>
  <c r="Q138" i="363"/>
  <c r="M138" i="363"/>
  <c r="M132" i="363"/>
  <c r="N132" i="363"/>
  <c r="Q132" i="363"/>
  <c r="N136" i="363"/>
  <c r="Q136" i="363"/>
  <c r="M136" i="363"/>
  <c r="Q140" i="363"/>
  <c r="N140" i="363"/>
  <c r="M140" i="363"/>
  <c r="Q130" i="363"/>
  <c r="A130" i="363" s="1"/>
  <c r="N130" i="363"/>
  <c r="M130" i="363"/>
  <c r="Q127" i="363"/>
  <c r="A127" i="363" s="1"/>
  <c r="N127" i="363"/>
  <c r="M127" i="363"/>
  <c r="S171" i="362"/>
  <c r="I169" i="363"/>
  <c r="I171" i="363" s="1"/>
  <c r="N144" i="362"/>
  <c r="M144" i="362"/>
  <c r="Q144" i="362"/>
  <c r="N132" i="362"/>
  <c r="M132" i="362"/>
  <c r="Q132" i="362"/>
  <c r="Q142" i="362"/>
  <c r="N142" i="362"/>
  <c r="M142" i="362"/>
  <c r="M134" i="362"/>
  <c r="Q134" i="362"/>
  <c r="N134" i="362"/>
  <c r="N136" i="362"/>
  <c r="M136" i="362"/>
  <c r="Q136" i="362"/>
  <c r="M146" i="362"/>
  <c r="N146" i="362"/>
  <c r="Q146" i="362"/>
  <c r="N140" i="362"/>
  <c r="M140" i="362"/>
  <c r="Q140" i="362"/>
  <c r="M138" i="362"/>
  <c r="Q138" i="362"/>
  <c r="N138" i="362"/>
  <c r="K122" i="362"/>
  <c r="E122" i="363" s="1"/>
  <c r="K122" i="363" s="1"/>
  <c r="E122" i="364" s="1"/>
  <c r="K122" i="364" s="1"/>
  <c r="M130" i="362"/>
  <c r="N130" i="362"/>
  <c r="Q130" i="362"/>
  <c r="A130" i="362" s="1"/>
  <c r="N127" i="362"/>
  <c r="M127" i="362"/>
  <c r="Q127" i="362"/>
  <c r="A127" i="362" s="1"/>
  <c r="S171" i="363" l="1"/>
  <c r="I169" i="364"/>
  <c r="I171" i="364" s="1"/>
  <c r="E122" i="365"/>
  <c r="K122" i="365" s="1"/>
  <c r="N122" i="364"/>
  <c r="N152" i="364" s="1"/>
  <c r="Q122" i="364"/>
  <c r="A122" i="364" s="1"/>
  <c r="M122" i="364"/>
  <c r="M152" i="364" s="1"/>
  <c r="E138" i="366"/>
  <c r="K138" i="366" s="1"/>
  <c r="M138" i="365"/>
  <c r="Q138" i="365"/>
  <c r="N138" i="365"/>
  <c r="E129" i="368"/>
  <c r="K129" i="368" s="1"/>
  <c r="M129" i="367"/>
  <c r="Q129" i="367"/>
  <c r="A129" i="367" s="1"/>
  <c r="N129" i="367"/>
  <c r="E140" i="366"/>
  <c r="K140" i="366" s="1"/>
  <c r="N140" i="365"/>
  <c r="Q140" i="365"/>
  <c r="M140" i="365"/>
  <c r="E146" i="366"/>
  <c r="K146" i="366" s="1"/>
  <c r="N146" i="365"/>
  <c r="Q146" i="365"/>
  <c r="M146" i="365"/>
  <c r="E136" i="366"/>
  <c r="K136" i="366" s="1"/>
  <c r="N136" i="365"/>
  <c r="M136" i="365"/>
  <c r="Q136" i="365"/>
  <c r="E134" i="366"/>
  <c r="K134" i="366" s="1"/>
  <c r="N134" i="365"/>
  <c r="M134" i="365"/>
  <c r="Q134" i="365"/>
  <c r="E144" i="366"/>
  <c r="K144" i="366" s="1"/>
  <c r="M144" i="365"/>
  <c r="Q144" i="365"/>
  <c r="N144" i="365"/>
  <c r="E132" i="366"/>
  <c r="K132" i="366" s="1"/>
  <c r="M132" i="365"/>
  <c r="N132" i="365"/>
  <c r="Q132" i="365"/>
  <c r="E142" i="366"/>
  <c r="K142" i="366" s="1"/>
  <c r="Q142" i="365"/>
  <c r="N142" i="365"/>
  <c r="M142" i="365"/>
  <c r="E130" i="366"/>
  <c r="K130" i="366" s="1"/>
  <c r="N130" i="365"/>
  <c r="M130" i="365"/>
  <c r="Q130" i="365"/>
  <c r="A130" i="365" s="1"/>
  <c r="E125" i="368"/>
  <c r="K125" i="368" s="1"/>
  <c r="N125" i="367"/>
  <c r="Q125" i="367"/>
  <c r="A125" i="367" s="1"/>
  <c r="M125" i="367"/>
  <c r="E135" i="368"/>
  <c r="K135" i="368" s="1"/>
  <c r="M135" i="367"/>
  <c r="Q135" i="367"/>
  <c r="N135" i="367"/>
  <c r="E145" i="368"/>
  <c r="K145" i="368" s="1"/>
  <c r="Q145" i="367"/>
  <c r="M145" i="367"/>
  <c r="N145" i="367"/>
  <c r="E137" i="368"/>
  <c r="K137" i="368" s="1"/>
  <c r="Q137" i="367"/>
  <c r="N137" i="367"/>
  <c r="M137" i="367"/>
  <c r="E141" i="368"/>
  <c r="K141" i="368" s="1"/>
  <c r="N141" i="367"/>
  <c r="M141" i="367"/>
  <c r="Q141" i="367"/>
  <c r="E133" i="368"/>
  <c r="K133" i="368" s="1"/>
  <c r="N133" i="367"/>
  <c r="M133" i="367"/>
  <c r="Q133" i="367"/>
  <c r="E139" i="368"/>
  <c r="K139" i="368" s="1"/>
  <c r="M139" i="367"/>
  <c r="N139" i="367"/>
  <c r="Q139" i="367"/>
  <c r="E143" i="368"/>
  <c r="K143" i="368" s="1"/>
  <c r="Q143" i="367"/>
  <c r="N143" i="367"/>
  <c r="M143" i="367"/>
  <c r="E127" i="366"/>
  <c r="K127" i="366" s="1"/>
  <c r="Q127" i="365"/>
  <c r="A127" i="365" s="1"/>
  <c r="M127" i="365"/>
  <c r="N127" i="365"/>
  <c r="E123" i="367"/>
  <c r="K123" i="367" s="1"/>
  <c r="M123" i="366"/>
  <c r="Q123" i="366"/>
  <c r="A123" i="366" s="1"/>
  <c r="N123" i="366"/>
  <c r="M126" i="366"/>
  <c r="E126" i="367"/>
  <c r="K126" i="367" s="1"/>
  <c r="N126" i="366"/>
  <c r="Q126" i="366"/>
  <c r="A126" i="366" s="1"/>
  <c r="E131" i="368"/>
  <c r="K131" i="368" s="1"/>
  <c r="N131" i="367"/>
  <c r="M131" i="367"/>
  <c r="Q131" i="367"/>
  <c r="E124" i="368"/>
  <c r="K124" i="368" s="1"/>
  <c r="Q124" i="367"/>
  <c r="A124" i="367" s="1"/>
  <c r="N124" i="367"/>
  <c r="M124" i="367"/>
  <c r="E128" i="368"/>
  <c r="K128" i="368" s="1"/>
  <c r="N128" i="367"/>
  <c r="M128" i="367"/>
  <c r="Q128" i="367"/>
  <c r="A128" i="367" s="1"/>
  <c r="N122" i="363"/>
  <c r="N152" i="363" s="1"/>
  <c r="M122" i="363"/>
  <c r="M152" i="363" s="1"/>
  <c r="Q122" i="363"/>
  <c r="A122" i="363" s="1"/>
  <c r="M122" i="362"/>
  <c r="M152" i="362" s="1"/>
  <c r="Q122" i="362"/>
  <c r="A122" i="362" s="1"/>
  <c r="N122" i="362"/>
  <c r="N152" i="362" s="1"/>
  <c r="I172" i="362"/>
  <c r="S171" i="364" l="1"/>
  <c r="I169" i="365"/>
  <c r="E126" i="368"/>
  <c r="K126" i="368" s="1"/>
  <c r="Q126" i="367"/>
  <c r="A126" i="367" s="1"/>
  <c r="M126" i="367"/>
  <c r="N126" i="367"/>
  <c r="E128" i="369"/>
  <c r="K128" i="369" s="1"/>
  <c r="Q128" i="368"/>
  <c r="A128" i="368" s="1"/>
  <c r="N128" i="368"/>
  <c r="M128" i="368"/>
  <c r="E123" i="368"/>
  <c r="K123" i="368" s="1"/>
  <c r="N123" i="367"/>
  <c r="M123" i="367"/>
  <c r="Q123" i="367"/>
  <c r="A123" i="367" s="1"/>
  <c r="E143" i="369"/>
  <c r="K143" i="369" s="1"/>
  <c r="Q143" i="368"/>
  <c r="M143" i="368"/>
  <c r="N143" i="368"/>
  <c r="E133" i="369"/>
  <c r="K133" i="369" s="1"/>
  <c r="N133" i="368"/>
  <c r="Q133" i="368"/>
  <c r="M133" i="368"/>
  <c r="E141" i="369"/>
  <c r="K141" i="369" s="1"/>
  <c r="N141" i="368"/>
  <c r="M141" i="368"/>
  <c r="Q141" i="368"/>
  <c r="E137" i="369"/>
  <c r="K137" i="369" s="1"/>
  <c r="Q137" i="368"/>
  <c r="M137" i="368"/>
  <c r="N137" i="368"/>
  <c r="E145" i="369"/>
  <c r="K145" i="369" s="1"/>
  <c r="Q145" i="368"/>
  <c r="N145" i="368"/>
  <c r="M145" i="368"/>
  <c r="E135" i="369"/>
  <c r="K135" i="369" s="1"/>
  <c r="Q135" i="368"/>
  <c r="M135" i="368"/>
  <c r="N135" i="368"/>
  <c r="E125" i="369"/>
  <c r="K125" i="369" s="1"/>
  <c r="M125" i="368"/>
  <c r="N125" i="368"/>
  <c r="Q125" i="368"/>
  <c r="A125" i="368" s="1"/>
  <c r="E130" i="367"/>
  <c r="K130" i="367" s="1"/>
  <c r="M130" i="366"/>
  <c r="Q130" i="366"/>
  <c r="A130" i="366" s="1"/>
  <c r="N130" i="366"/>
  <c r="E142" i="367"/>
  <c r="K142" i="367" s="1"/>
  <c r="N142" i="366"/>
  <c r="M142" i="366"/>
  <c r="Q142" i="366"/>
  <c r="E132" i="367"/>
  <c r="K132" i="367" s="1"/>
  <c r="Q132" i="366"/>
  <c r="N132" i="366"/>
  <c r="M132" i="366"/>
  <c r="E144" i="367"/>
  <c r="K144" i="367" s="1"/>
  <c r="Q144" i="366"/>
  <c r="N144" i="366"/>
  <c r="M144" i="366"/>
  <c r="E134" i="367"/>
  <c r="K134" i="367" s="1"/>
  <c r="N134" i="366"/>
  <c r="M134" i="366"/>
  <c r="Q134" i="366"/>
  <c r="E136" i="367"/>
  <c r="K136" i="367" s="1"/>
  <c r="N136" i="366"/>
  <c r="M136" i="366"/>
  <c r="Q136" i="366"/>
  <c r="E146" i="367"/>
  <c r="K146" i="367" s="1"/>
  <c r="N146" i="366"/>
  <c r="M146" i="366"/>
  <c r="Q146" i="366"/>
  <c r="E140" i="367"/>
  <c r="K140" i="367" s="1"/>
  <c r="M140" i="366"/>
  <c r="Q140" i="366"/>
  <c r="N140" i="366"/>
  <c r="E129" i="369"/>
  <c r="K129" i="369" s="1"/>
  <c r="M129" i="368"/>
  <c r="Q129" i="368"/>
  <c r="A129" i="368" s="1"/>
  <c r="N129" i="368"/>
  <c r="E138" i="367"/>
  <c r="K138" i="367" s="1"/>
  <c r="Q138" i="366"/>
  <c r="N138" i="366"/>
  <c r="M138" i="366"/>
  <c r="E124" i="369"/>
  <c r="K124" i="369" s="1"/>
  <c r="M124" i="368"/>
  <c r="Q124" i="368"/>
  <c r="A124" i="368" s="1"/>
  <c r="N124" i="368"/>
  <c r="N127" i="366"/>
  <c r="E127" i="367"/>
  <c r="K127" i="367" s="1"/>
  <c r="Q127" i="366"/>
  <c r="A127" i="366" s="1"/>
  <c r="M127" i="366"/>
  <c r="E131" i="369"/>
  <c r="K131" i="369" s="1"/>
  <c r="N131" i="368"/>
  <c r="M131" i="368"/>
  <c r="Q131" i="368"/>
  <c r="E139" i="369"/>
  <c r="K139" i="369" s="1"/>
  <c r="Q139" i="368"/>
  <c r="N139" i="368"/>
  <c r="M139" i="368"/>
  <c r="E122" i="366"/>
  <c r="K122" i="366" s="1"/>
  <c r="N122" i="365"/>
  <c r="N152" i="365" s="1"/>
  <c r="Q122" i="365"/>
  <c r="A122" i="365" s="1"/>
  <c r="M122" i="365"/>
  <c r="M152" i="365" s="1"/>
  <c r="S172" i="362"/>
  <c r="I170" i="363"/>
  <c r="I172" i="363" s="1"/>
  <c r="S172" i="363" l="1"/>
  <c r="I170" i="364"/>
  <c r="I172" i="364" s="1"/>
  <c r="E139" i="370"/>
  <c r="K139" i="370" s="1"/>
  <c r="Q139" i="369"/>
  <c r="M139" i="369"/>
  <c r="N139" i="369"/>
  <c r="E124" i="370"/>
  <c r="K124" i="370" s="1"/>
  <c r="Q124" i="369"/>
  <c r="A124" i="369" s="1"/>
  <c r="M124" i="369"/>
  <c r="N124" i="369"/>
  <c r="E146" i="368"/>
  <c r="K146" i="368" s="1"/>
  <c r="N146" i="367"/>
  <c r="Q146" i="367"/>
  <c r="M146" i="367"/>
  <c r="E144" i="368"/>
  <c r="K144" i="368" s="1"/>
  <c r="N144" i="367"/>
  <c r="Q144" i="367"/>
  <c r="M144" i="367"/>
  <c r="E130" i="368"/>
  <c r="K130" i="368" s="1"/>
  <c r="N130" i="367"/>
  <c r="M130" i="367"/>
  <c r="Q130" i="367"/>
  <c r="A130" i="367" s="1"/>
  <c r="E135" i="370"/>
  <c r="K135" i="370" s="1"/>
  <c r="N135" i="369"/>
  <c r="Q135" i="369"/>
  <c r="M135" i="369"/>
  <c r="E141" i="370"/>
  <c r="K141" i="370" s="1"/>
  <c r="M141" i="369"/>
  <c r="N141" i="369"/>
  <c r="Q141" i="369"/>
  <c r="E128" i="370"/>
  <c r="K128" i="370" s="1"/>
  <c r="N128" i="369"/>
  <c r="Q128" i="369"/>
  <c r="A128" i="369" s="1"/>
  <c r="M128" i="369"/>
  <c r="E131" i="370"/>
  <c r="K131" i="370" s="1"/>
  <c r="M131" i="369"/>
  <c r="Q131" i="369"/>
  <c r="N131" i="369"/>
  <c r="E129" i="370"/>
  <c r="K129" i="370" s="1"/>
  <c r="M129" i="369"/>
  <c r="N129" i="369"/>
  <c r="Q129" i="369"/>
  <c r="A129" i="369" s="1"/>
  <c r="E140" i="368"/>
  <c r="K140" i="368" s="1"/>
  <c r="Q140" i="367"/>
  <c r="M140" i="367"/>
  <c r="N140" i="367"/>
  <c r="E134" i="368"/>
  <c r="K134" i="368" s="1"/>
  <c r="N134" i="367"/>
  <c r="Q134" i="367"/>
  <c r="M134" i="367"/>
  <c r="E142" i="368"/>
  <c r="K142" i="368" s="1"/>
  <c r="M142" i="367"/>
  <c r="N142" i="367"/>
  <c r="Q142" i="367"/>
  <c r="E145" i="370"/>
  <c r="K145" i="370" s="1"/>
  <c r="Q145" i="369"/>
  <c r="N145" i="369"/>
  <c r="M145" i="369"/>
  <c r="E133" i="370"/>
  <c r="K133" i="370" s="1"/>
  <c r="Q133" i="369"/>
  <c r="N133" i="369"/>
  <c r="M133" i="369"/>
  <c r="E123" i="369"/>
  <c r="K123" i="369" s="1"/>
  <c r="N123" i="368"/>
  <c r="M123" i="368"/>
  <c r="Q123" i="368"/>
  <c r="A123" i="368" s="1"/>
  <c r="Q127" i="367"/>
  <c r="A127" i="367" s="1"/>
  <c r="E127" i="368"/>
  <c r="K127" i="368" s="1"/>
  <c r="N127" i="367"/>
  <c r="M127" i="367"/>
  <c r="E122" i="367"/>
  <c r="K122" i="367" s="1"/>
  <c r="N122" i="366"/>
  <c r="N152" i="366" s="1"/>
  <c r="M122" i="366"/>
  <c r="M152" i="366" s="1"/>
  <c r="Q122" i="366"/>
  <c r="A122" i="366" s="1"/>
  <c r="E138" i="368"/>
  <c r="K138" i="368" s="1"/>
  <c r="N138" i="367"/>
  <c r="M138" i="367"/>
  <c r="Q138" i="367"/>
  <c r="E136" i="368"/>
  <c r="K136" i="368" s="1"/>
  <c r="N136" i="367"/>
  <c r="Q136" i="367"/>
  <c r="M136" i="367"/>
  <c r="E132" i="368"/>
  <c r="K132" i="368" s="1"/>
  <c r="M132" i="367"/>
  <c r="N132" i="367"/>
  <c r="Q132" i="367"/>
  <c r="E125" i="370"/>
  <c r="K125" i="370" s="1"/>
  <c r="Q125" i="369"/>
  <c r="A125" i="369" s="1"/>
  <c r="M125" i="369"/>
  <c r="N125" i="369"/>
  <c r="E137" i="370"/>
  <c r="K137" i="370" s="1"/>
  <c r="Q137" i="369"/>
  <c r="M137" i="369"/>
  <c r="N137" i="369"/>
  <c r="E143" i="370"/>
  <c r="K143" i="370" s="1"/>
  <c r="N143" i="369"/>
  <c r="M143" i="369"/>
  <c r="Q143" i="369"/>
  <c r="E126" i="369"/>
  <c r="K126" i="369" s="1"/>
  <c r="N126" i="368"/>
  <c r="M126" i="368"/>
  <c r="Q126" i="368"/>
  <c r="A126" i="368" s="1"/>
  <c r="S172" i="364" l="1"/>
  <c r="I170" i="365"/>
  <c r="I172" i="365" s="1"/>
  <c r="N137" i="370"/>
  <c r="M137" i="370"/>
  <c r="Q137" i="370"/>
  <c r="E122" i="368"/>
  <c r="K122" i="368" s="1"/>
  <c r="M122" i="367"/>
  <c r="M152" i="367" s="1"/>
  <c r="Q122" i="367"/>
  <c r="A122" i="367" s="1"/>
  <c r="N122" i="367"/>
  <c r="N152" i="367" s="1"/>
  <c r="E140" i="369"/>
  <c r="K140" i="369" s="1"/>
  <c r="M140" i="368"/>
  <c r="N140" i="368"/>
  <c r="Q140" i="368"/>
  <c r="N143" i="370"/>
  <c r="M143" i="370"/>
  <c r="Q143" i="370"/>
  <c r="E136" i="369"/>
  <c r="K136" i="369" s="1"/>
  <c r="N136" i="368"/>
  <c r="M136" i="368"/>
  <c r="Q136" i="368"/>
  <c r="M133" i="370"/>
  <c r="Q133" i="370"/>
  <c r="N133" i="370"/>
  <c r="M125" i="370"/>
  <c r="Q125" i="370"/>
  <c r="A125" i="370" s="1"/>
  <c r="N125" i="370"/>
  <c r="E138" i="369"/>
  <c r="K138" i="369" s="1"/>
  <c r="M138" i="368"/>
  <c r="Q138" i="368"/>
  <c r="N138" i="368"/>
  <c r="N145" i="370"/>
  <c r="M145" i="370"/>
  <c r="Q145" i="370"/>
  <c r="Q127" i="368"/>
  <c r="A127" i="368" s="1"/>
  <c r="E127" i="369"/>
  <c r="K127" i="369" s="1"/>
  <c r="M127" i="368"/>
  <c r="N127" i="368"/>
  <c r="E126" i="370"/>
  <c r="K126" i="370" s="1"/>
  <c r="Q126" i="369"/>
  <c r="A126" i="369" s="1"/>
  <c r="M126" i="369"/>
  <c r="N126" i="369"/>
  <c r="E132" i="369"/>
  <c r="K132" i="369" s="1"/>
  <c r="Q132" i="368"/>
  <c r="N132" i="368"/>
  <c r="M132" i="368"/>
  <c r="Q123" i="369"/>
  <c r="A123" i="369" s="1"/>
  <c r="E123" i="370"/>
  <c r="K123" i="370" s="1"/>
  <c r="N123" i="369"/>
  <c r="M123" i="369"/>
  <c r="E142" i="369"/>
  <c r="K142" i="369" s="1"/>
  <c r="N142" i="368"/>
  <c r="Q142" i="368"/>
  <c r="M142" i="368"/>
  <c r="E134" i="369"/>
  <c r="K134" i="369" s="1"/>
  <c r="N134" i="368"/>
  <c r="M134" i="368"/>
  <c r="Q134" i="368"/>
  <c r="Q129" i="370"/>
  <c r="A129" i="370" s="1"/>
  <c r="M129" i="370"/>
  <c r="N129" i="370"/>
  <c r="Q131" i="370"/>
  <c r="N131" i="370"/>
  <c r="M131" i="370"/>
  <c r="M128" i="370"/>
  <c r="N128" i="370"/>
  <c r="Q128" i="370"/>
  <c r="A128" i="370" s="1"/>
  <c r="Q141" i="370"/>
  <c r="M141" i="370"/>
  <c r="N141" i="370"/>
  <c r="N135" i="370"/>
  <c r="M135" i="370"/>
  <c r="Q135" i="370"/>
  <c r="E130" i="369"/>
  <c r="K130" i="369" s="1"/>
  <c r="M130" i="368"/>
  <c r="Q130" i="368"/>
  <c r="A130" i="368" s="1"/>
  <c r="N130" i="368"/>
  <c r="E144" i="369"/>
  <c r="K144" i="369" s="1"/>
  <c r="Q144" i="368"/>
  <c r="M144" i="368"/>
  <c r="N144" i="368"/>
  <c r="E146" i="369"/>
  <c r="K146" i="369" s="1"/>
  <c r="N146" i="368"/>
  <c r="Q146" i="368"/>
  <c r="M146" i="368"/>
  <c r="M124" i="370"/>
  <c r="Q124" i="370"/>
  <c r="A124" i="370" s="1"/>
  <c r="N124" i="370"/>
  <c r="Q139" i="370"/>
  <c r="N139" i="370"/>
  <c r="M139" i="370"/>
  <c r="S172" i="365" l="1"/>
  <c r="I170" i="366"/>
  <c r="I172" i="366" s="1"/>
  <c r="E134" i="370"/>
  <c r="K134" i="370" s="1"/>
  <c r="N134" i="369"/>
  <c r="M134" i="369"/>
  <c r="Q134" i="369"/>
  <c r="E142" i="370"/>
  <c r="K142" i="370" s="1"/>
  <c r="M142" i="369"/>
  <c r="Q142" i="369"/>
  <c r="N142" i="369"/>
  <c r="E132" i="370"/>
  <c r="K132" i="370" s="1"/>
  <c r="N132" i="369"/>
  <c r="Q132" i="369"/>
  <c r="M132" i="369"/>
  <c r="N126" i="370"/>
  <c r="M126" i="370"/>
  <c r="Q126" i="370"/>
  <c r="A126" i="370" s="1"/>
  <c r="E140" i="370"/>
  <c r="K140" i="370" s="1"/>
  <c r="N140" i="369"/>
  <c r="M140" i="369"/>
  <c r="Q140" i="369"/>
  <c r="E122" i="369"/>
  <c r="K122" i="369" s="1"/>
  <c r="M122" i="368"/>
  <c r="M152" i="368" s="1"/>
  <c r="N122" i="368"/>
  <c r="N152" i="368" s="1"/>
  <c r="Q122" i="368"/>
  <c r="A122" i="368" s="1"/>
  <c r="E146" i="370"/>
  <c r="K146" i="370" s="1"/>
  <c r="N146" i="369"/>
  <c r="M146" i="369"/>
  <c r="Q146" i="369"/>
  <c r="E144" i="370"/>
  <c r="K144" i="370" s="1"/>
  <c r="Q144" i="369"/>
  <c r="N144" i="369"/>
  <c r="M144" i="369"/>
  <c r="E130" i="370"/>
  <c r="K130" i="370" s="1"/>
  <c r="Q130" i="369"/>
  <c r="A130" i="369" s="1"/>
  <c r="M130" i="369"/>
  <c r="N130" i="369"/>
  <c r="E136" i="370"/>
  <c r="K136" i="370" s="1"/>
  <c r="Q136" i="369"/>
  <c r="N136" i="369"/>
  <c r="M136" i="369"/>
  <c r="Q123" i="370"/>
  <c r="A123" i="370" s="1"/>
  <c r="M123" i="370"/>
  <c r="N123" i="370"/>
  <c r="Q127" i="369"/>
  <c r="A127" i="369" s="1"/>
  <c r="E127" i="370"/>
  <c r="K127" i="370" s="1"/>
  <c r="N127" i="369"/>
  <c r="M127" i="369"/>
  <c r="E138" i="370"/>
  <c r="K138" i="370" s="1"/>
  <c r="N138" i="369"/>
  <c r="M138" i="369"/>
  <c r="Q138" i="369"/>
  <c r="S172" i="366" l="1"/>
  <c r="I170" i="368"/>
  <c r="I172" i="368" s="1"/>
  <c r="I170" i="367"/>
  <c r="I172" i="367" s="1"/>
  <c r="S172" i="367" s="1"/>
  <c r="N136" i="370"/>
  <c r="Q136" i="370"/>
  <c r="M136" i="370"/>
  <c r="Q130" i="370"/>
  <c r="A130" i="370" s="1"/>
  <c r="N130" i="370"/>
  <c r="M130" i="370"/>
  <c r="N144" i="370"/>
  <c r="M144" i="370"/>
  <c r="Q144" i="370"/>
  <c r="N146" i="370"/>
  <c r="Q146" i="370"/>
  <c r="M146" i="370"/>
  <c r="E122" i="370"/>
  <c r="K122" i="370" s="1"/>
  <c r="Q122" i="369"/>
  <c r="A122" i="369" s="1"/>
  <c r="M122" i="369"/>
  <c r="M152" i="369" s="1"/>
  <c r="N122" i="369"/>
  <c r="N152" i="369" s="1"/>
  <c r="N140" i="370"/>
  <c r="M140" i="370"/>
  <c r="Q140" i="370"/>
  <c r="Q127" i="370"/>
  <c r="A127" i="370" s="1"/>
  <c r="N127" i="370"/>
  <c r="M127" i="370"/>
  <c r="M138" i="370"/>
  <c r="Q138" i="370"/>
  <c r="N138" i="370"/>
  <c r="N132" i="370"/>
  <c r="Q132" i="370"/>
  <c r="M132" i="370"/>
  <c r="Q142" i="370"/>
  <c r="N142" i="370"/>
  <c r="M142" i="370"/>
  <c r="N134" i="370"/>
  <c r="Q134" i="370"/>
  <c r="M134" i="370"/>
  <c r="S172" i="368" l="1"/>
  <c r="I170" i="369"/>
  <c r="I172" i="369" s="1"/>
  <c r="Q122" i="370"/>
  <c r="A122" i="370" s="1"/>
  <c r="N122" i="370"/>
  <c r="N152" i="370" s="1"/>
  <c r="M122" i="370"/>
  <c r="M152" i="370" s="1"/>
  <c r="S172" i="369" l="1"/>
  <c r="I170" i="370"/>
  <c r="I172" i="370" s="1"/>
  <c r="S172" i="370" s="1"/>
  <c r="I171" i="365" l="1"/>
  <c r="S171" i="365" s="1"/>
  <c r="I169" i="366" l="1"/>
  <c r="I171" i="366" s="1"/>
  <c r="E171" i="367"/>
  <c r="S171" i="366" l="1"/>
  <c r="I169" i="368"/>
  <c r="I171" i="368" s="1"/>
  <c r="I169" i="367"/>
  <c r="I171" i="367" s="1"/>
  <c r="S171" i="367" s="1"/>
  <c r="S171" i="368" l="1"/>
  <c r="I169" i="369"/>
  <c r="I171" i="369" s="1"/>
  <c r="S171" i="369" l="1"/>
  <c r="I169" i="370"/>
  <c r="I171" i="370" s="1"/>
  <c r="S171" i="3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6" authorId="0" shapeId="0" xr:uid="{1E1D57D5-6510-4296-B274-27BF0A5C131F}">
      <text>
        <r>
          <rPr>
            <b/>
            <sz val="11"/>
            <color indexed="81"/>
            <rFont val="Tahoma"/>
            <charset val="1"/>
          </rPr>
          <t>Autor:</t>
        </r>
        <r>
          <rPr>
            <sz val="11"/>
            <color indexed="81"/>
            <rFont val="Tahoma"/>
            <charset val="1"/>
          </rPr>
          <t xml:space="preserve">
por gol de la selección
</t>
        </r>
      </text>
    </comment>
    <comment ref="G8" authorId="0" shapeId="0" xr:uid="{DCD4510C-4C4D-4E73-802C-54C5E1E2DEAD}">
      <text>
        <r>
          <rPr>
            <b/>
            <sz val="11"/>
            <color indexed="81"/>
            <rFont val="Tahoma"/>
            <charset val="1"/>
          </rPr>
          <t>Autor:</t>
        </r>
        <r>
          <rPr>
            <sz val="11"/>
            <color indexed="81"/>
            <rFont val="Tahoma"/>
            <charset val="1"/>
          </rPr>
          <t xml:space="preserve">
cortesia por lluvia 1 y 2 por gol de la selección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8" authorId="0" shapeId="0" xr:uid="{B554646A-0398-47FE-94C4-9EF1DC7C5FEE}">
      <text>
        <r>
          <rPr>
            <b/>
            <sz val="11"/>
            <color indexed="81"/>
            <rFont val="Tahoma"/>
            <charset val="1"/>
          </rPr>
          <t>Autor:</t>
        </r>
        <r>
          <rPr>
            <sz val="11"/>
            <color indexed="81"/>
            <rFont val="Tahoma"/>
            <charset val="1"/>
          </rPr>
          <t xml:space="preserve">
ROTA
</t>
        </r>
      </text>
    </comment>
  </commentList>
</comments>
</file>

<file path=xl/sharedStrings.xml><?xml version="1.0" encoding="utf-8"?>
<sst xmlns="http://schemas.openxmlformats.org/spreadsheetml/2006/main" count="2611" uniqueCount="107">
  <si>
    <t>MONTO</t>
  </si>
  <si>
    <t>PRODUCTO</t>
  </si>
  <si>
    <t>MEGA VICTORIA</t>
  </si>
  <si>
    <t>MEGA CORONA</t>
  </si>
  <si>
    <t>MEGA AZUL</t>
  </si>
  <si>
    <t>MEGA ROJA</t>
  </si>
  <si>
    <t>MEGA LAGER</t>
  </si>
  <si>
    <t>MEDIA VICTORIA</t>
  </si>
  <si>
    <t>MEDIA CORONA</t>
  </si>
  <si>
    <t>MEDIA AZUL</t>
  </si>
  <si>
    <t>MEDIA LAGER</t>
  </si>
  <si>
    <t>CANT</t>
  </si>
  <si>
    <t>NOMBRE</t>
  </si>
  <si>
    <t>AZULITO</t>
  </si>
  <si>
    <t>CIGARRO</t>
  </si>
  <si>
    <t>COCA 355</t>
  </si>
  <si>
    <t>PEÑAFIEL 355</t>
  </si>
  <si>
    <t>CHICARRON</t>
  </si>
  <si>
    <t>SEMILLAS</t>
  </si>
  <si>
    <t>BOTANA JAMON</t>
  </si>
  <si>
    <t>SOPA</t>
  </si>
  <si>
    <t>ENTRADA</t>
  </si>
  <si>
    <t>TORONJA 355</t>
  </si>
  <si>
    <t>GASTOS</t>
  </si>
  <si>
    <t>VENTA</t>
  </si>
  <si>
    <t>CLAMATO (Botella)</t>
  </si>
  <si>
    <t>CLAMATO (Preparado vaso)</t>
  </si>
  <si>
    <t>PREPARADO SALSAS (Vaso)</t>
  </si>
  <si>
    <t>NUBIA</t>
  </si>
  <si>
    <t>VENTA DE FICHAS</t>
  </si>
  <si>
    <t>CANCION</t>
  </si>
  <si>
    <t>DESCRIPCION</t>
  </si>
  <si>
    <t>BOOS</t>
  </si>
  <si>
    <t>CORTESIAS</t>
  </si>
  <si>
    <t>$
VENTA</t>
  </si>
  <si>
    <t>$
COMPRA</t>
  </si>
  <si>
    <t>VENTA PUBLICO</t>
  </si>
  <si>
    <t>ELOY</t>
  </si>
  <si>
    <t>COPA $50</t>
  </si>
  <si>
    <t>COPA $70</t>
  </si>
  <si>
    <t>COPA $100</t>
  </si>
  <si>
    <t>COPA $120</t>
  </si>
  <si>
    <t>COPA $150</t>
  </si>
  <si>
    <t>SALIDA</t>
  </si>
  <si>
    <t>CHICLES</t>
  </si>
  <si>
    <t>DESCORCHE</t>
  </si>
  <si>
    <t>MARCE</t>
  </si>
  <si>
    <t>SALSA VALENTINA (CHICA)</t>
  </si>
  <si>
    <t>CACAHUATE</t>
  </si>
  <si>
    <t>MANGUITO</t>
  </si>
  <si>
    <t>PAPAS</t>
  </si>
  <si>
    <t>ISELA</t>
  </si>
  <si>
    <t>TOTAL</t>
  </si>
  <si>
    <t>CUBO MEDIA LAGER (6)</t>
  </si>
  <si>
    <t>CUBO MEDIA AZUL (6)</t>
  </si>
  <si>
    <t>CUBO MEDIA VICTORIA (6)</t>
  </si>
  <si>
    <t>CUBO MEDIA CORONA (6)</t>
  </si>
  <si>
    <t>PROMO MEGA LAGER (3)</t>
  </si>
  <si>
    <t>PROMO MEGA ROJA (3)</t>
  </si>
  <si>
    <t>PROMO MEGA AZUL (3)</t>
  </si>
  <si>
    <t>PROMO MEGA VICTORIA (3)</t>
  </si>
  <si>
    <t>PROMO MEGA CORONA (3)</t>
  </si>
  <si>
    <t>MICHE LAGER (2 MEDIAS)</t>
  </si>
  <si>
    <t>MICHE AZUL (2 MEDIAS)</t>
  </si>
  <si>
    <t>MICHE VICTORIA (2 MEDIAS)</t>
  </si>
  <si>
    <t>MICHE CORONA (2 MEDIAS)</t>
  </si>
  <si>
    <t>NEWMIX VAMPIRO</t>
  </si>
  <si>
    <t>NEWMIX PALOMA</t>
  </si>
  <si>
    <t>$</t>
  </si>
  <si>
    <t>TOTAL DE VENTA</t>
  </si>
  <si>
    <t>TOTAL DE CORTESIAS</t>
  </si>
  <si>
    <t>VENTA PERSONAL</t>
  </si>
  <si>
    <t>PRECIO</t>
  </si>
  <si>
    <t>COMISION</t>
  </si>
  <si>
    <t>PAGO DE COMISION</t>
  </si>
  <si>
    <t>INVENTARIO</t>
  </si>
  <si>
    <t>CANTIDAD
INICAL</t>
  </si>
  <si>
    <t>CANTIDAD
FINAL</t>
  </si>
  <si>
    <t>CONTEO
FISICO</t>
  </si>
  <si>
    <t>DIFERENCIA</t>
  </si>
  <si>
    <t>RESUMEN DEL DIA</t>
  </si>
  <si>
    <t>CONSUMO</t>
  </si>
  <si>
    <t>A PAGAR</t>
  </si>
  <si>
    <t>SUELDO</t>
  </si>
  <si>
    <t>VIKY</t>
  </si>
  <si>
    <t>ELECTRONICO</t>
  </si>
  <si>
    <t>EFECTIVO</t>
  </si>
  <si>
    <t>CAJA INICIAL</t>
  </si>
  <si>
    <t>ENTREGA</t>
  </si>
  <si>
    <t>CAJA FINAL</t>
  </si>
  <si>
    <t>VENTA
TOTAL</t>
  </si>
  <si>
    <t>DIFERIENCIAS</t>
  </si>
  <si>
    <t>OBSERVACIONES</t>
  </si>
  <si>
    <t>Jorge: Sabado 23 de Mayo 2 media azul ficha Isela $240, Pendiente salida de producto y pago de comision, ingresar comanda al pagar</t>
  </si>
  <si>
    <t>CREDITOS</t>
  </si>
  <si>
    <t>***NO INGRESAR LAS COMANDAS DE CREDITO AL FORMATO HASTA QUE SEAN LIQUIDADAS***</t>
  </si>
  <si>
    <t>REVISION
(Conteo)</t>
  </si>
  <si>
    <t>VASO ROTO</t>
  </si>
  <si>
    <t>1 pza credito German</t>
  </si>
  <si>
    <t>German: Domingo 07 Junio 1 Mega Roja $60, Ingresar comanda cuado haga el pago</t>
  </si>
  <si>
    <t>CERVEZA/CLORO</t>
  </si>
  <si>
    <t>sobraba una y Jorge debe dos fichas Isela</t>
  </si>
  <si>
    <t>LIMON</t>
  </si>
  <si>
    <t>CIGARROS</t>
  </si>
  <si>
    <t>CACAHUATES</t>
  </si>
  <si>
    <t>BOTANA JUEVES</t>
  </si>
  <si>
    <t>BOTANA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</si>
</sst>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$&quot;#,##0"/>
    <numFmt numFmtId="166" formatCode="&quot;$&quot;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C26F6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 wrapText="1"/>
    </xf>
    <xf numFmtId="165" fontId="0" fillId="3" borderId="18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/>
    </xf>
    <xf numFmtId="1" fontId="0" fillId="5" borderId="33" xfId="0" applyNumberFormat="1" applyFill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0" fillId="5" borderId="30" xfId="0" applyNumberForma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165" fontId="0" fillId="3" borderId="21" xfId="0" applyNumberFormat="1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/>
    </xf>
    <xf numFmtId="165" fontId="2" fillId="3" borderId="16" xfId="0" applyNumberFormat="1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49" xfId="0" applyFont="1" applyFill="1" applyBorder="1" applyAlignment="1">
      <alignment horizontal="center"/>
    </xf>
    <xf numFmtId="0" fontId="4" fillId="3" borderId="49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165" fontId="3" fillId="6" borderId="0" xfId="0" applyNumberFormat="1" applyFont="1" applyFill="1" applyAlignment="1">
      <alignment vertical="center" wrapText="1"/>
    </xf>
    <xf numFmtId="0" fontId="3" fillId="6" borderId="0" xfId="0" applyFont="1" applyFill="1"/>
    <xf numFmtId="165" fontId="0" fillId="6" borderId="0" xfId="0" applyNumberFormat="1" applyFill="1" applyAlignment="1">
      <alignment horizontal="center" vertical="center" wrapText="1"/>
    </xf>
    <xf numFmtId="164" fontId="5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 vertical="center"/>
    </xf>
    <xf numFmtId="1" fontId="0" fillId="6" borderId="28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66" fontId="0" fillId="9" borderId="25" xfId="0" applyNumberFormat="1" applyFill="1" applyBorder="1" applyAlignment="1">
      <alignment horizontal="center" vertical="center"/>
    </xf>
    <xf numFmtId="166" fontId="0" fillId="8" borderId="30" xfId="0" applyNumberFormat="1" applyFill="1" applyBorder="1" applyAlignment="1">
      <alignment horizontal="center" vertical="center"/>
    </xf>
    <xf numFmtId="166" fontId="0" fillId="9" borderId="30" xfId="0" applyNumberFormat="1" applyFill="1" applyBorder="1" applyAlignment="1">
      <alignment horizontal="center" vertical="center"/>
    </xf>
    <xf numFmtId="166" fontId="0" fillId="6" borderId="30" xfId="0" applyNumberFormat="1" applyFill="1" applyBorder="1" applyAlignment="1">
      <alignment horizontal="center" vertical="center"/>
    </xf>
    <xf numFmtId="165" fontId="2" fillId="8" borderId="19" xfId="0" applyNumberFormat="1" applyFont="1" applyFill="1" applyBorder="1" applyAlignment="1">
      <alignment horizontal="center" vertical="center"/>
    </xf>
    <xf numFmtId="165" fontId="2" fillId="9" borderId="19" xfId="0" applyNumberFormat="1" applyFont="1" applyFill="1" applyBorder="1" applyAlignment="1">
      <alignment horizontal="center" vertical="center"/>
    </xf>
    <xf numFmtId="165" fontId="2" fillId="8" borderId="21" xfId="0" applyNumberFormat="1" applyFont="1" applyFill="1" applyBorder="1" applyAlignment="1">
      <alignment horizontal="center" vertical="center"/>
    </xf>
    <xf numFmtId="165" fontId="0" fillId="9" borderId="26" xfId="0" applyNumberFormat="1" applyFill="1" applyBorder="1" applyAlignment="1">
      <alignment horizontal="center" vertical="center"/>
    </xf>
    <xf numFmtId="165" fontId="0" fillId="8" borderId="26" xfId="0" applyNumberFormat="1" applyFill="1" applyBorder="1" applyAlignment="1">
      <alignment horizontal="center" vertical="center"/>
    </xf>
    <xf numFmtId="1" fontId="0" fillId="6" borderId="23" xfId="0" applyNumberFormat="1" applyFill="1" applyBorder="1" applyAlignment="1">
      <alignment horizontal="center" vertical="center"/>
    </xf>
    <xf numFmtId="165" fontId="0" fillId="6" borderId="25" xfId="0" applyNumberFormat="1" applyFill="1" applyBorder="1" applyAlignment="1">
      <alignment horizontal="center" vertical="center"/>
    </xf>
    <xf numFmtId="165" fontId="0" fillId="6" borderId="26" xfId="0" applyNumberFormat="1" applyFill="1" applyBorder="1" applyAlignment="1">
      <alignment horizontal="center" vertical="center"/>
    </xf>
    <xf numFmtId="1" fontId="2" fillId="2" borderId="23" xfId="0" applyNumberFormat="1" applyFont="1" applyFill="1" applyBorder="1" applyAlignment="1">
      <alignment horizontal="center" vertical="center"/>
    </xf>
    <xf numFmtId="1" fontId="2" fillId="2" borderId="28" xfId="0" applyNumberFormat="1" applyFont="1" applyFill="1" applyBorder="1" applyAlignment="1">
      <alignment horizontal="center" vertical="center"/>
    </xf>
    <xf numFmtId="1" fontId="2" fillId="2" borderId="27" xfId="0" applyNumberFormat="1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6" borderId="0" xfId="0" applyFill="1"/>
    <xf numFmtId="165" fontId="0" fillId="0" borderId="0" xfId="0" applyNumberFormat="1" applyAlignment="1">
      <alignment horizontal="center" vertical="center" wrapText="1"/>
    </xf>
    <xf numFmtId="1" fontId="0" fillId="2" borderId="51" xfId="0" applyNumberFormat="1" applyFill="1" applyBorder="1" applyAlignment="1">
      <alignment horizontal="center"/>
    </xf>
    <xf numFmtId="165" fontId="0" fillId="5" borderId="52" xfId="0" applyNumberFormat="1" applyFill="1" applyBorder="1" applyAlignment="1">
      <alignment horizontal="center"/>
    </xf>
    <xf numFmtId="1" fontId="3" fillId="5" borderId="6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164" fontId="5" fillId="7" borderId="0" xfId="0" applyNumberFormat="1" applyFont="1" applyFill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0" fillId="7" borderId="0" xfId="0" applyFill="1"/>
    <xf numFmtId="165" fontId="3" fillId="3" borderId="15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165" fontId="3" fillId="3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5" fontId="3" fillId="3" borderId="50" xfId="0" applyNumberFormat="1" applyFont="1" applyFill="1" applyBorder="1" applyAlignment="1">
      <alignment horizontal="center" vertical="center"/>
    </xf>
    <xf numFmtId="1" fontId="0" fillId="5" borderId="46" xfId="0" applyNumberFormat="1" applyFill="1" applyBorder="1" applyAlignment="1">
      <alignment horizontal="center" vertical="center"/>
    </xf>
    <xf numFmtId="0" fontId="4" fillId="3" borderId="50" xfId="0" applyFont="1" applyFill="1" applyBorder="1" applyAlignment="1">
      <alignment vertical="center"/>
    </xf>
    <xf numFmtId="165" fontId="0" fillId="6" borderId="12" xfId="0" applyNumberFormat="1" applyFill="1" applyBorder="1" applyAlignment="1">
      <alignment vertical="center"/>
    </xf>
    <xf numFmtId="165" fontId="0" fillId="6" borderId="34" xfId="0" applyNumberFormat="1" applyFill="1" applyBorder="1" applyAlignment="1">
      <alignment vertical="center"/>
    </xf>
    <xf numFmtId="165" fontId="0" fillId="6" borderId="15" xfId="0" applyNumberFormat="1" applyFill="1" applyBorder="1" applyAlignment="1">
      <alignment vertical="center"/>
    </xf>
    <xf numFmtId="165" fontId="3" fillId="3" borderId="11" xfId="0" applyNumberFormat="1" applyFont="1" applyFill="1" applyBorder="1" applyAlignment="1">
      <alignment vertical="center"/>
    </xf>
    <xf numFmtId="165" fontId="0" fillId="5" borderId="24" xfId="0" applyNumberFormat="1" applyFill="1" applyBorder="1" applyAlignment="1">
      <alignment vertical="center"/>
    </xf>
    <xf numFmtId="165" fontId="0" fillId="5" borderId="5" xfId="0" applyNumberFormat="1" applyFill="1" applyBorder="1" applyAlignment="1">
      <alignment vertical="center"/>
    </xf>
    <xf numFmtId="165" fontId="0" fillId="5" borderId="22" xfId="0" applyNumberFormat="1" applyFill="1" applyBorder="1" applyAlignment="1">
      <alignment vertical="center"/>
    </xf>
    <xf numFmtId="165" fontId="0" fillId="5" borderId="4" xfId="0" applyNumberFormat="1" applyFill="1" applyBorder="1" applyAlignment="1">
      <alignment vertical="center"/>
    </xf>
    <xf numFmtId="165" fontId="0" fillId="5" borderId="48" xfId="0" applyNumberFormat="1" applyFill="1" applyBorder="1" applyAlignment="1">
      <alignment vertical="center"/>
    </xf>
    <xf numFmtId="165" fontId="0" fillId="5" borderId="21" xfId="0" applyNumberFormat="1" applyFill="1" applyBorder="1" applyAlignment="1">
      <alignment vertical="center"/>
    </xf>
    <xf numFmtId="165" fontId="0" fillId="5" borderId="16" xfId="0" applyNumberFormat="1" applyFill="1" applyBorder="1" applyAlignment="1">
      <alignment vertical="center"/>
    </xf>
    <xf numFmtId="165" fontId="0" fillId="5" borderId="3" xfId="0" applyNumberFormat="1" applyFill="1" applyBorder="1" applyAlignment="1">
      <alignment vertical="center"/>
    </xf>
    <xf numFmtId="165" fontId="0" fillId="5" borderId="47" xfId="0" applyNumberFormat="1" applyFill="1" applyBorder="1" applyAlignment="1">
      <alignment vertical="center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65" fontId="7" fillId="6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65" fontId="0" fillId="10" borderId="4" xfId="0" applyNumberFormat="1" applyFill="1" applyBorder="1" applyAlignment="1">
      <alignment horizontal="center" vertical="center"/>
    </xf>
    <xf numFmtId="165" fontId="0" fillId="10" borderId="3" xfId="0" applyNumberForma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 wrapText="1"/>
    </xf>
    <xf numFmtId="165" fontId="0" fillId="8" borderId="1" xfId="0" applyNumberForma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0" fillId="0" borderId="5" xfId="0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6" fontId="0" fillId="0" borderId="3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vertical="center"/>
    </xf>
    <xf numFmtId="0" fontId="3" fillId="3" borderId="57" xfId="0" applyFont="1" applyFill="1" applyBorder="1" applyAlignment="1">
      <alignment vertical="center"/>
    </xf>
    <xf numFmtId="0" fontId="3" fillId="0" borderId="24" xfId="0" applyFont="1" applyBorder="1" applyAlignment="1">
      <alignment vertical="center"/>
    </xf>
    <xf numFmtId="1" fontId="3" fillId="5" borderId="23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166" fontId="3" fillId="4" borderId="24" xfId="0" applyNumberFormat="1" applyFont="1" applyFill="1" applyBorder="1" applyAlignment="1">
      <alignment horizontal="center"/>
    </xf>
    <xf numFmtId="0" fontId="3" fillId="11" borderId="24" xfId="0" applyFont="1" applyFill="1" applyBorder="1"/>
    <xf numFmtId="0" fontId="3" fillId="11" borderId="55" xfId="0" applyFont="1" applyFill="1" applyBorder="1" applyAlignment="1">
      <alignment horizontal="center"/>
    </xf>
    <xf numFmtId="0" fontId="3" fillId="5" borderId="61" xfId="0" applyFont="1" applyFill="1" applyBorder="1" applyAlignment="1">
      <alignment horizontal="center" vertical="center"/>
    </xf>
    <xf numFmtId="166" fontId="0" fillId="8" borderId="52" xfId="0" applyNumberForma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166" fontId="3" fillId="4" borderId="5" xfId="0" applyNumberFormat="1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55" xfId="0" applyFont="1" applyFill="1" applyBorder="1" applyAlignment="1">
      <alignment horizontal="center"/>
    </xf>
    <xf numFmtId="166" fontId="3" fillId="5" borderId="55" xfId="0" applyNumberFormat="1" applyFont="1" applyFill="1" applyBorder="1" applyAlignment="1">
      <alignment horizontal="center"/>
    </xf>
    <xf numFmtId="0" fontId="3" fillId="12" borderId="11" xfId="0" applyFont="1" applyFill="1" applyBorder="1"/>
    <xf numFmtId="0" fontId="3" fillId="12" borderId="14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/>
    </xf>
    <xf numFmtId="165" fontId="3" fillId="8" borderId="1" xfId="0" applyNumberFormat="1" applyFont="1" applyFill="1" applyBorder="1" applyAlignment="1">
      <alignment horizontal="center" vertical="center"/>
    </xf>
    <xf numFmtId="165" fontId="3" fillId="9" borderId="5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2" fillId="2" borderId="37" xfId="0" applyNumberFormat="1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2" borderId="62" xfId="0" applyNumberFormat="1" applyFont="1" applyFill="1" applyBorder="1" applyAlignment="1">
      <alignment horizontal="center" vertical="center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62" xfId="0" applyNumberFormat="1" applyFont="1" applyFill="1" applyBorder="1" applyAlignment="1">
      <alignment horizontal="center" vertical="center"/>
    </xf>
    <xf numFmtId="1" fontId="2" fillId="8" borderId="9" xfId="0" applyNumberFormat="1" applyFont="1" applyFill="1" applyBorder="1" applyAlignment="1">
      <alignment horizontal="center" vertical="center"/>
    </xf>
    <xf numFmtId="1" fontId="2" fillId="9" borderId="62" xfId="0" applyNumberFormat="1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165" fontId="0" fillId="10" borderId="24" xfId="0" applyNumberFormat="1" applyFill="1" applyBorder="1" applyAlignment="1">
      <alignment horizontal="center" vertical="center" wrapText="1"/>
    </xf>
    <xf numFmtId="1" fontId="0" fillId="2" borderId="24" xfId="0" applyNumberFormat="1" applyFill="1" applyBorder="1" applyAlignment="1">
      <alignment horizontal="center" vertical="center" wrapText="1"/>
    </xf>
    <xf numFmtId="165" fontId="0" fillId="9" borderId="24" xfId="0" applyNumberFormat="1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165" fontId="0" fillId="10" borderId="5" xfId="0" applyNumberForma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165" fontId="0" fillId="8" borderId="5" xfId="0" applyNumberFormat="1" applyFill="1" applyBorder="1" applyAlignment="1">
      <alignment horizontal="center" vertical="center" wrapText="1"/>
    </xf>
    <xf numFmtId="1" fontId="2" fillId="8" borderId="53" xfId="0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1" fontId="3" fillId="2" borderId="36" xfId="0" applyNumberFormat="1" applyFont="1" applyFill="1" applyBorder="1" applyAlignment="1">
      <alignment horizontal="center" vertical="center"/>
    </xf>
    <xf numFmtId="1" fontId="3" fillId="2" borderId="4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39" xfId="0" applyFont="1" applyFill="1" applyBorder="1" applyAlignment="1">
      <alignment horizontal="center" vertical="center"/>
    </xf>
    <xf numFmtId="165" fontId="3" fillId="0" borderId="32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5" fontId="9" fillId="13" borderId="7" xfId="0" applyNumberFormat="1" applyFont="1" applyFill="1" applyBorder="1" applyAlignment="1">
      <alignment horizontal="center"/>
    </xf>
    <xf numFmtId="165" fontId="9" fillId="13" borderId="8" xfId="0" applyNumberFormat="1" applyFont="1" applyFill="1" applyBorder="1" applyAlignment="1">
      <alignment horizontal="center"/>
    </xf>
    <xf numFmtId="165" fontId="3" fillId="5" borderId="6" xfId="0" applyNumberFormat="1" applyFont="1" applyFill="1" applyBorder="1" applyAlignment="1">
      <alignment horizontal="center"/>
    </xf>
    <xf numFmtId="165" fontId="3" fillId="5" borderId="7" xfId="0" applyNumberFormat="1" applyFont="1" applyFill="1" applyBorder="1" applyAlignment="1">
      <alignment horizontal="center"/>
    </xf>
    <xf numFmtId="165" fontId="3" fillId="5" borderId="8" xfId="0" applyNumberFormat="1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165" fontId="3" fillId="11" borderId="11" xfId="0" applyNumberFormat="1" applyFont="1" applyFill="1" applyBorder="1" applyAlignment="1">
      <alignment horizontal="center" vertical="center" wrapText="1"/>
    </xf>
    <xf numFmtId="165" fontId="3" fillId="11" borderId="12" xfId="0" applyNumberFormat="1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/>
    </xf>
    <xf numFmtId="165" fontId="3" fillId="12" borderId="14" xfId="0" applyNumberFormat="1" applyFont="1" applyFill="1" applyBorder="1" applyAlignment="1">
      <alignment horizontal="center"/>
    </xf>
    <xf numFmtId="165" fontId="3" fillId="12" borderId="15" xfId="0" applyNumberFormat="1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 vertical="center" wrapText="1"/>
    </xf>
    <xf numFmtId="165" fontId="3" fillId="2" borderId="15" xfId="0" applyNumberFormat="1" applyFont="1" applyFill="1" applyBorder="1" applyAlignment="1">
      <alignment horizontal="center" vertical="center" wrapText="1"/>
    </xf>
    <xf numFmtId="165" fontId="3" fillId="11" borderId="14" xfId="0" applyNumberFormat="1" applyFont="1" applyFill="1" applyBorder="1" applyAlignment="1">
      <alignment horizontal="center" vertical="center" wrapText="1"/>
    </xf>
    <xf numFmtId="165" fontId="3" fillId="11" borderId="15" xfId="0" applyNumberFormat="1" applyFont="1" applyFill="1" applyBorder="1" applyAlignment="1">
      <alignment horizontal="center" vertical="center" wrapText="1"/>
    </xf>
    <xf numFmtId="0" fontId="3" fillId="12" borderId="23" xfId="0" applyFont="1" applyFill="1" applyBorder="1" applyAlignment="1">
      <alignment horizontal="center" vertical="center"/>
    </xf>
    <xf numFmtId="0" fontId="3" fillId="12" borderId="63" xfId="0" applyFont="1" applyFill="1" applyBorder="1" applyAlignment="1">
      <alignment horizontal="center" vertical="center"/>
    </xf>
    <xf numFmtId="165" fontId="3" fillId="12" borderId="11" xfId="0" applyNumberFormat="1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165" fontId="3" fillId="12" borderId="14" xfId="0" applyNumberFormat="1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/>
    </xf>
    <xf numFmtId="165" fontId="3" fillId="12" borderId="11" xfId="0" applyNumberFormat="1" applyFont="1" applyFill="1" applyBorder="1" applyAlignment="1">
      <alignment horizontal="center"/>
    </xf>
    <xf numFmtId="0" fontId="3" fillId="12" borderId="12" xfId="0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 vertical="center" wrapText="1"/>
    </xf>
    <xf numFmtId="165" fontId="3" fillId="2" borderId="12" xfId="0" applyNumberFormat="1" applyFont="1" applyFill="1" applyBorder="1" applyAlignment="1">
      <alignment horizontal="center" vertical="center" wrapText="1"/>
    </xf>
    <xf numFmtId="165" fontId="3" fillId="2" borderId="24" xfId="0" applyNumberFormat="1" applyFont="1" applyFill="1" applyBorder="1" applyAlignment="1">
      <alignment horizontal="center"/>
    </xf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165" fontId="3" fillId="5" borderId="55" xfId="0" applyNumberFormat="1" applyFont="1" applyFill="1" applyBorder="1" applyAlignment="1">
      <alignment horizontal="center" vertical="center"/>
    </xf>
    <xf numFmtId="165" fontId="3" fillId="5" borderId="49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center" vertical="center"/>
    </xf>
    <xf numFmtId="165" fontId="3" fillId="5" borderId="16" xfId="0" applyNumberFormat="1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/>
    </xf>
    <xf numFmtId="165" fontId="3" fillId="2" borderId="55" xfId="0" applyNumberFormat="1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/>
    </xf>
    <xf numFmtId="165" fontId="3" fillId="5" borderId="21" xfId="0" applyNumberFormat="1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/>
    </xf>
    <xf numFmtId="165" fontId="3" fillId="2" borderId="25" xfId="0" applyNumberFormat="1" applyFont="1" applyFill="1" applyBorder="1" applyAlignment="1">
      <alignment horizontal="center"/>
    </xf>
    <xf numFmtId="0" fontId="3" fillId="11" borderId="55" xfId="0" applyFont="1" applyFill="1" applyBorder="1" applyAlignment="1">
      <alignment horizontal="center"/>
    </xf>
    <xf numFmtId="165" fontId="3" fillId="11" borderId="55" xfId="0" applyNumberFormat="1" applyFont="1" applyFill="1" applyBorder="1" applyAlignment="1">
      <alignment horizontal="center" vertical="center"/>
    </xf>
    <xf numFmtId="165" fontId="3" fillId="11" borderId="49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165" fontId="3" fillId="4" borderId="5" xfId="0" applyNumberFormat="1" applyFont="1" applyFill="1" applyBorder="1" applyAlignment="1">
      <alignment horizontal="center"/>
    </xf>
    <xf numFmtId="165" fontId="3" fillId="4" borderId="60" xfId="0" applyNumberFormat="1" applyFont="1" applyFill="1" applyBorder="1" applyAlignment="1">
      <alignment horizontal="center"/>
    </xf>
    <xf numFmtId="0" fontId="3" fillId="11" borderId="23" xfId="0" applyFont="1" applyFill="1" applyBorder="1" applyAlignment="1">
      <alignment horizontal="center" vertical="center"/>
    </xf>
    <xf numFmtId="0" fontId="3" fillId="11" borderId="29" xfId="0" applyFont="1" applyFill="1" applyBorder="1" applyAlignment="1">
      <alignment horizontal="center" vertical="center"/>
    </xf>
    <xf numFmtId="165" fontId="3" fillId="11" borderId="24" xfId="0" applyNumberFormat="1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/>
    </xf>
    <xf numFmtId="0" fontId="3" fillId="11" borderId="55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/>
    </xf>
    <xf numFmtId="165" fontId="3" fillId="2" borderId="24" xfId="0" applyNumberFormat="1" applyFont="1" applyFill="1" applyBorder="1" applyAlignment="1">
      <alignment horizontal="center" vertical="center"/>
    </xf>
    <xf numFmtId="165" fontId="3" fillId="2" borderId="25" xfId="0" applyNumberFormat="1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5" fontId="3" fillId="4" borderId="24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/>
    </xf>
    <xf numFmtId="165" fontId="3" fillId="5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3" fillId="2" borderId="60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26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26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164" fontId="5" fillId="5" borderId="12" xfId="0" applyNumberFormat="1" applyFont="1" applyFill="1" applyBorder="1" applyAlignment="1">
      <alignment horizontal="center" vertical="center"/>
    </xf>
    <xf numFmtId="164" fontId="5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164" fontId="5" fillId="5" borderId="15" xfId="0" applyNumberFormat="1" applyFont="1" applyFill="1" applyBorder="1" applyAlignment="1">
      <alignment horizontal="center" vertical="center"/>
    </xf>
    <xf numFmtId="164" fontId="5" fillId="3" borderId="13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" fontId="7" fillId="9" borderId="6" xfId="0" applyNumberFormat="1" applyFont="1" applyFill="1" applyBorder="1" applyAlignment="1">
      <alignment horizontal="center" vertical="center"/>
    </xf>
    <xf numFmtId="1" fontId="7" fillId="9" borderId="7" xfId="0" applyNumberFormat="1" applyFont="1" applyFill="1" applyBorder="1" applyAlignment="1">
      <alignment horizontal="center" vertical="center"/>
    </xf>
    <xf numFmtId="1" fontId="7" fillId="9" borderId="8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" fontId="7" fillId="8" borderId="6" xfId="0" applyNumberFormat="1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>
      <alignment horizontal="center" vertical="center"/>
    </xf>
    <xf numFmtId="1" fontId="7" fillId="8" borderId="8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5" fontId="7" fillId="5" borderId="17" xfId="0" applyNumberFormat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" fontId="3" fillId="2" borderId="28" xfId="0" applyNumberFormat="1" applyFont="1" applyFill="1" applyBorder="1" applyAlignment="1">
      <alignment horizontal="center" vertical="center"/>
    </xf>
    <xf numFmtId="1" fontId="3" fillId="2" borderId="26" xfId="0" applyNumberFormat="1" applyFont="1" applyFill="1" applyBorder="1" applyAlignment="1">
      <alignment horizontal="center" vertical="center"/>
    </xf>
    <xf numFmtId="165" fontId="0" fillId="5" borderId="38" xfId="0" applyNumberFormat="1" applyFill="1" applyBorder="1" applyAlignment="1">
      <alignment horizontal="center" vertical="center"/>
    </xf>
    <xf numFmtId="165" fontId="0" fillId="5" borderId="41" xfId="0" applyNumberForma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1" fontId="3" fillId="2" borderId="29" xfId="0" applyNumberFormat="1" applyFont="1" applyFill="1" applyBorder="1" applyAlignment="1">
      <alignment horizontal="center" vertical="center"/>
    </xf>
    <xf numFmtId="1" fontId="3" fillId="2" borderId="49" xfId="0" applyNumberFormat="1" applyFont="1" applyFill="1" applyBorder="1" applyAlignment="1">
      <alignment horizontal="center" vertical="center"/>
    </xf>
    <xf numFmtId="165" fontId="0" fillId="5" borderId="42" xfId="0" applyNumberFormat="1" applyFill="1" applyBorder="1" applyAlignment="1">
      <alignment horizontal="center" vertical="center"/>
    </xf>
    <xf numFmtId="165" fontId="0" fillId="5" borderId="44" xfId="0" applyNumberForma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34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165" fontId="0" fillId="3" borderId="39" xfId="0" applyNumberFormat="1" applyFill="1" applyBorder="1" applyAlignment="1">
      <alignment horizontal="center" vertical="center"/>
    </xf>
    <xf numFmtId="165" fontId="0" fillId="3" borderId="32" xfId="0" applyNumberFormat="1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165" fontId="0" fillId="5" borderId="35" xfId="0" applyNumberFormat="1" applyFill="1" applyBorder="1" applyAlignment="1">
      <alignment horizontal="center" vertical="center"/>
    </xf>
    <xf numFmtId="165" fontId="0" fillId="5" borderId="22" xfId="0" applyNumberFormat="1" applyFill="1" applyBorder="1" applyAlignment="1">
      <alignment horizontal="center" vertical="center"/>
    </xf>
    <xf numFmtId="165" fontId="0" fillId="5" borderId="36" xfId="0" applyNumberFormat="1" applyFill="1" applyBorder="1" applyAlignment="1">
      <alignment horizontal="center" vertical="center"/>
    </xf>
    <xf numFmtId="165" fontId="0" fillId="5" borderId="48" xfId="0" applyNumberFormat="1" applyFill="1" applyBorder="1" applyAlignment="1">
      <alignment horizontal="center" vertical="center"/>
    </xf>
    <xf numFmtId="165" fontId="0" fillId="3" borderId="31" xfId="0" applyNumberFormat="1" applyFill="1" applyBorder="1" applyAlignment="1">
      <alignment horizontal="center" vertical="center"/>
    </xf>
    <xf numFmtId="1" fontId="3" fillId="2" borderId="23" xfId="0" applyNumberFormat="1" applyFont="1" applyFill="1" applyBorder="1" applyAlignment="1">
      <alignment horizontal="center" vertical="center"/>
    </xf>
    <xf numFmtId="1" fontId="3" fillId="2" borderId="25" xfId="0" applyNumberFormat="1" applyFont="1" applyFill="1" applyBorder="1" applyAlignment="1">
      <alignment horizontal="center" vertical="center"/>
    </xf>
    <xf numFmtId="165" fontId="3" fillId="3" borderId="6" xfId="0" applyNumberFormat="1" applyFont="1" applyFill="1" applyBorder="1" applyAlignment="1">
      <alignment horizontal="center" vertical="center"/>
    </xf>
    <xf numFmtId="165" fontId="3" fillId="3" borderId="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165" fontId="6" fillId="4" borderId="7" xfId="0" applyNumberFormat="1" applyFont="1" applyFill="1" applyBorder="1" applyAlignment="1">
      <alignment horizontal="center" vertical="center"/>
    </xf>
    <xf numFmtId="165" fontId="6" fillId="4" borderId="8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165" fontId="3" fillId="3" borderId="31" xfId="0" applyNumberFormat="1" applyFont="1" applyFill="1" applyBorder="1" applyAlignment="1">
      <alignment horizontal="center" vertical="center" wrapText="1"/>
    </xf>
    <xf numFmtId="165" fontId="3" fillId="3" borderId="32" xfId="0" applyNumberFormat="1" applyFont="1" applyFill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165" fontId="3" fillId="3" borderId="13" xfId="0" applyNumberFormat="1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/>
    </xf>
    <xf numFmtId="0" fontId="3" fillId="5" borderId="30" xfId="0" applyFont="1" applyFill="1" applyBorder="1" applyAlignment="1">
      <alignment horizontal="center"/>
    </xf>
    <xf numFmtId="0" fontId="0" fillId="9" borderId="3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8" borderId="3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41" xfId="0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65" fontId="6" fillId="5" borderId="7" xfId="0" applyNumberFormat="1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165" fontId="6" fillId="4" borderId="6" xfId="0" applyNumberFormat="1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8" borderId="36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99"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EC26F6"/>
      <color rgb="FFBF0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89E9-2E08-4B61-9CC1-E710CE441047}">
  <dimension ref="A1:Z182"/>
  <sheetViews>
    <sheetView topLeftCell="B161" zoomScale="85" zoomScaleNormal="85" workbookViewId="0">
      <selection activeCell="B175" sqref="B175:V175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46188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/>
      <c r="P4" s="45">
        <f>O4*N4</f>
        <v>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/>
      <c r="F7" s="105">
        <f t="shared" si="0"/>
        <v>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/>
      <c r="F8" s="104">
        <f t="shared" si="0"/>
        <v>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/>
      <c r="F9" s="105">
        <f t="shared" si="0"/>
        <v>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/>
      <c r="F10" s="104">
        <f t="shared" si="0"/>
        <v>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/>
      <c r="F18" s="105">
        <f t="shared" si="0"/>
        <v>0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46188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/>
      <c r="F40" s="16">
        <f t="shared" si="5"/>
        <v>0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/>
      <c r="J42" s="16">
        <f t="shared" si="7"/>
        <v>0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0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46188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46188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-18.833333333333332</v>
      </c>
      <c r="B122" s="96" t="s">
        <v>10</v>
      </c>
      <c r="C122" s="104">
        <v>15</v>
      </c>
      <c r="D122" s="104">
        <v>30</v>
      </c>
      <c r="E122" s="287">
        <f>'DOMINGO 14'!K122</f>
        <v>113</v>
      </c>
      <c r="F122" s="287"/>
      <c r="G122" s="260"/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113</v>
      </c>
      <c r="L122" s="287"/>
      <c r="M122" s="143">
        <f>K122*C122</f>
        <v>1695</v>
      </c>
      <c r="N122" s="143">
        <f>K122*D122</f>
        <v>3390</v>
      </c>
      <c r="O122" s="282"/>
      <c r="P122" s="282"/>
      <c r="Q122" s="288">
        <f>O122-K122</f>
        <v>-113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-9.6666666666666661</v>
      </c>
      <c r="B123" s="97" t="s">
        <v>9</v>
      </c>
      <c r="C123" s="105">
        <v>14</v>
      </c>
      <c r="D123" s="105">
        <v>30</v>
      </c>
      <c r="E123" s="281">
        <f>'DOMINGO 14'!K123</f>
        <v>58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58</v>
      </c>
      <c r="L123" s="281"/>
      <c r="M123" s="144">
        <f>K123*C123</f>
        <v>812</v>
      </c>
      <c r="N123" s="144">
        <f>K123*D123</f>
        <v>1740</v>
      </c>
      <c r="O123" s="282"/>
      <c r="P123" s="282"/>
      <c r="Q123" s="283">
        <f>O123-K123</f>
        <v>-58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-5.333333333333333</v>
      </c>
      <c r="B124" s="96" t="s">
        <v>7</v>
      </c>
      <c r="C124" s="104">
        <v>17</v>
      </c>
      <c r="D124" s="104">
        <v>35</v>
      </c>
      <c r="E124" s="287">
        <f>'DOMINGO 14'!K124</f>
        <v>32</v>
      </c>
      <c r="F124" s="287"/>
      <c r="G124" s="260"/>
      <c r="H124" s="260"/>
      <c r="I124" s="287">
        <f>E6+G6+E15*6+E24*2+E40+G40+I40+K40+O40+Q40+S40+U40+W40</f>
        <v>0</v>
      </c>
      <c r="J124" s="287"/>
      <c r="K124" s="287">
        <f t="shared" ref="K124:K146" si="14">E124+G124-I124</f>
        <v>32</v>
      </c>
      <c r="L124" s="287"/>
      <c r="M124" s="143">
        <f t="shared" ref="M124:M151" si="15">K124*C124</f>
        <v>544</v>
      </c>
      <c r="N124" s="143">
        <f t="shared" ref="N124:N151" si="16">K124*D124</f>
        <v>1120</v>
      </c>
      <c r="O124" s="282"/>
      <c r="P124" s="282"/>
      <c r="Q124" s="288">
        <f t="shared" ref="Q124:Q146" si="17">O124-K124</f>
        <v>-32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-6</v>
      </c>
      <c r="B125" s="97" t="s">
        <v>8</v>
      </c>
      <c r="C125" s="105">
        <v>17</v>
      </c>
      <c r="D125" s="105">
        <v>35</v>
      </c>
      <c r="E125" s="281">
        <f>'DOMINGO 14'!K125</f>
        <v>36</v>
      </c>
      <c r="F125" s="281"/>
      <c r="G125" s="260"/>
      <c r="H125" s="260"/>
      <c r="I125" s="281">
        <f>E7+G7+E16*6+E25*2+E41+G41+I41+K41+O41+Q41+S41+U41+W41</f>
        <v>0</v>
      </c>
      <c r="J125" s="281"/>
      <c r="K125" s="281">
        <f t="shared" si="14"/>
        <v>36</v>
      </c>
      <c r="L125" s="281"/>
      <c r="M125" s="144">
        <f t="shared" si="15"/>
        <v>612</v>
      </c>
      <c r="N125" s="144">
        <f t="shared" si="16"/>
        <v>1260</v>
      </c>
      <c r="O125" s="282"/>
      <c r="P125" s="282"/>
      <c r="Q125" s="283">
        <f t="shared" si="17"/>
        <v>-36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-4</v>
      </c>
      <c r="B126" s="96" t="s">
        <v>6</v>
      </c>
      <c r="C126" s="104">
        <v>37</v>
      </c>
      <c r="D126" s="104">
        <v>70</v>
      </c>
      <c r="E126" s="287">
        <f>'DOMINGO 14'!K126</f>
        <v>12</v>
      </c>
      <c r="F126" s="287"/>
      <c r="G126" s="260"/>
      <c r="H126" s="260"/>
      <c r="I126" s="287">
        <f>E8+G8+E17*3++E42+G42+I42+K42+O42+Q42+S42+U42+W42+H73+H79+H85+H91+H97+H103+H109+H115</f>
        <v>0</v>
      </c>
      <c r="J126" s="287"/>
      <c r="K126" s="287">
        <f t="shared" si="14"/>
        <v>12</v>
      </c>
      <c r="L126" s="287"/>
      <c r="M126" s="143">
        <f t="shared" si="15"/>
        <v>444</v>
      </c>
      <c r="N126" s="143">
        <f t="shared" si="16"/>
        <v>840</v>
      </c>
      <c r="O126" s="282"/>
      <c r="P126" s="282"/>
      <c r="Q126" s="288">
        <f t="shared" si="17"/>
        <v>-12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-6.333333333333333</v>
      </c>
      <c r="B127" s="97" t="s">
        <v>5</v>
      </c>
      <c r="C127" s="105">
        <v>35</v>
      </c>
      <c r="D127" s="105">
        <v>60</v>
      </c>
      <c r="E127" s="281">
        <f>'DOMINGO 14'!K127</f>
        <v>19</v>
      </c>
      <c r="F127" s="281"/>
      <c r="G127" s="260"/>
      <c r="H127" s="260"/>
      <c r="I127" s="281">
        <f>E9+G9+E18*3+E43+G43+I43+K43+O43+Q43+S43+U43+W43++H75+H81+H87+H93+H99+H105+H111+H117</f>
        <v>0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/>
      <c r="P127" s="282"/>
      <c r="Q127" s="283">
        <f t="shared" si="17"/>
        <v>-19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-3</v>
      </c>
      <c r="B128" s="96" t="s">
        <v>4</v>
      </c>
      <c r="C128" s="104">
        <v>35</v>
      </c>
      <c r="D128" s="104">
        <v>60</v>
      </c>
      <c r="E128" s="287">
        <f>'DOMINGO 14'!K128</f>
        <v>9</v>
      </c>
      <c r="F128" s="287"/>
      <c r="G128" s="260"/>
      <c r="H128" s="260"/>
      <c r="I128" s="287">
        <f>E10+G10+E19*3+E44+G44+I44+K44+O44+Q44+S44+U44+W44+H74+H80+H86+H92+H98+H104+H110+H116</f>
        <v>0</v>
      </c>
      <c r="J128" s="287"/>
      <c r="K128" s="287">
        <f t="shared" si="14"/>
        <v>9</v>
      </c>
      <c r="L128" s="287"/>
      <c r="M128" s="143">
        <f t="shared" si="15"/>
        <v>315</v>
      </c>
      <c r="N128" s="143">
        <f t="shared" si="16"/>
        <v>540</v>
      </c>
      <c r="O128" s="282"/>
      <c r="P128" s="282"/>
      <c r="Q128" s="288">
        <f t="shared" si="17"/>
        <v>-9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-15</v>
      </c>
      <c r="B129" s="97" t="s">
        <v>2</v>
      </c>
      <c r="C129" s="105">
        <v>41</v>
      </c>
      <c r="D129" s="105">
        <v>80</v>
      </c>
      <c r="E129" s="281">
        <f>'DOMINGO 14'!K129</f>
        <v>45</v>
      </c>
      <c r="F129" s="281"/>
      <c r="G129" s="260"/>
      <c r="H129" s="260"/>
      <c r="I129" s="281">
        <f>E11+G11+E20*3+E45+G45+I45+K45+O45+Q45+S45+U45+W45</f>
        <v>0</v>
      </c>
      <c r="J129" s="281"/>
      <c r="K129" s="281">
        <f t="shared" si="14"/>
        <v>45</v>
      </c>
      <c r="L129" s="281"/>
      <c r="M129" s="144">
        <f t="shared" si="15"/>
        <v>1845</v>
      </c>
      <c r="N129" s="144">
        <f t="shared" si="16"/>
        <v>3600</v>
      </c>
      <c r="O129" s="282"/>
      <c r="P129" s="282"/>
      <c r="Q129" s="283">
        <f t="shared" si="17"/>
        <v>-45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-8</v>
      </c>
      <c r="B130" s="96" t="s">
        <v>3</v>
      </c>
      <c r="C130" s="104">
        <v>41</v>
      </c>
      <c r="D130" s="104">
        <v>80</v>
      </c>
      <c r="E130" s="287">
        <f>'DOMINGO 14'!K130</f>
        <v>24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/>
      <c r="P130" s="282"/>
      <c r="Q130" s="288">
        <f t="shared" si="17"/>
        <v>-24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'DOMINGO 14'!K131</f>
        <v>86</v>
      </c>
      <c r="F131" s="281"/>
      <c r="G131" s="260"/>
      <c r="H131" s="260"/>
      <c r="I131" s="281">
        <f>O4+E47+G47+I47+K47+O47+Q47+S47+U47+W47</f>
        <v>0</v>
      </c>
      <c r="J131" s="281"/>
      <c r="K131" s="281">
        <f t="shared" si="14"/>
        <v>86</v>
      </c>
      <c r="L131" s="281"/>
      <c r="M131" s="144">
        <f t="shared" si="15"/>
        <v>516</v>
      </c>
      <c r="N131" s="144">
        <f t="shared" si="16"/>
        <v>860</v>
      </c>
      <c r="O131" s="282"/>
      <c r="P131" s="282"/>
      <c r="Q131" s="283">
        <f t="shared" si="17"/>
        <v>-86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'DOMINGO 14'!K132</f>
        <v>21</v>
      </c>
      <c r="F132" s="287"/>
      <c r="G132" s="260"/>
      <c r="H132" s="260"/>
      <c r="I132" s="287">
        <f>O5+Q5+E48+G48+I48+K48+O48+Q48+S48+U48+W48</f>
        <v>0</v>
      </c>
      <c r="J132" s="287"/>
      <c r="K132" s="287">
        <f t="shared" si="14"/>
        <v>21</v>
      </c>
      <c r="L132" s="287"/>
      <c r="M132" s="143">
        <f t="shared" si="15"/>
        <v>273</v>
      </c>
      <c r="N132" s="143">
        <f t="shared" si="16"/>
        <v>525</v>
      </c>
      <c r="O132" s="282"/>
      <c r="P132" s="282"/>
      <c r="Q132" s="288">
        <f t="shared" si="17"/>
        <v>-21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'DOMINGO 14'!K133</f>
        <v>7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7</v>
      </c>
      <c r="L133" s="281"/>
      <c r="M133" s="144">
        <f t="shared" si="15"/>
        <v>77</v>
      </c>
      <c r="N133" s="144">
        <f t="shared" si="16"/>
        <v>245</v>
      </c>
      <c r="O133" s="282"/>
      <c r="P133" s="282"/>
      <c r="Q133" s="283">
        <f t="shared" si="17"/>
        <v>-7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'DOMINGO 14'!K134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/>
      <c r="P134" s="282"/>
      <c r="Q134" s="288">
        <f t="shared" si="17"/>
        <v>-4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'DOMINGO 14'!K135</f>
        <v>9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9</v>
      </c>
      <c r="L135" s="281"/>
      <c r="M135" s="144">
        <f t="shared" si="15"/>
        <v>133.20000000000002</v>
      </c>
      <c r="N135" s="144">
        <f t="shared" si="16"/>
        <v>315</v>
      </c>
      <c r="O135" s="282"/>
      <c r="P135" s="282"/>
      <c r="Q135" s="283">
        <f t="shared" si="17"/>
        <v>-9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'DOMINGO 14'!K136</f>
        <v>12</v>
      </c>
      <c r="F136" s="287"/>
      <c r="G136" s="260"/>
      <c r="H136" s="260"/>
      <c r="I136" s="287">
        <f>O10+Q10+E52+G52+I52+K52+O52+Q52+S52+U52+W52</f>
        <v>0</v>
      </c>
      <c r="J136" s="287"/>
      <c r="K136" s="287">
        <f t="shared" si="14"/>
        <v>12</v>
      </c>
      <c r="L136" s="287"/>
      <c r="M136" s="143">
        <f t="shared" si="15"/>
        <v>156</v>
      </c>
      <c r="N136" s="143">
        <f t="shared" si="16"/>
        <v>240</v>
      </c>
      <c r="O136" s="282"/>
      <c r="P136" s="282"/>
      <c r="Q136" s="288">
        <f t="shared" si="17"/>
        <v>-12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'DOMINGO 14'!K137</f>
        <v>6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6</v>
      </c>
      <c r="L137" s="281"/>
      <c r="M137" s="144">
        <f t="shared" si="15"/>
        <v>66</v>
      </c>
      <c r="N137" s="144">
        <f t="shared" si="16"/>
        <v>120</v>
      </c>
      <c r="O137" s="282"/>
      <c r="P137" s="282"/>
      <c r="Q137" s="283">
        <f t="shared" si="17"/>
        <v>-6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'DOMINGO 14'!K138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/>
      <c r="P138" s="282"/>
      <c r="Q138" s="288">
        <f t="shared" si="17"/>
        <v>-3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'DOMINGO 14'!K139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/>
      <c r="P139" s="282"/>
      <c r="Q139" s="283">
        <f t="shared" si="17"/>
        <v>-2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'DOMINGO 14'!K140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/>
      <c r="P140" s="282"/>
      <c r="Q140" s="288">
        <f t="shared" si="17"/>
        <v>-1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'DOMINGO 14'!K141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/>
      <c r="P141" s="282"/>
      <c r="Q141" s="283">
        <f t="shared" si="17"/>
        <v>-3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'DOMINGO 14'!K142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/>
      <c r="P142" s="282"/>
      <c r="Q142" s="288">
        <f t="shared" si="17"/>
        <v>-2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'DOMINGO 14'!K143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/>
      <c r="P143" s="282"/>
      <c r="Q143" s="283">
        <f t="shared" si="17"/>
        <v>-1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'DOMINGO 14'!K144</f>
        <v>3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3</v>
      </c>
      <c r="L144" s="287"/>
      <c r="M144" s="143">
        <f t="shared" si="15"/>
        <v>24</v>
      </c>
      <c r="N144" s="143">
        <f t="shared" si="16"/>
        <v>45</v>
      </c>
      <c r="O144" s="282"/>
      <c r="P144" s="282"/>
      <c r="Q144" s="288">
        <f t="shared" si="17"/>
        <v>-3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'DOMINGO 14'!K145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/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'DOMINGO 14'!K146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/>
      <c r="P146" s="282"/>
      <c r="Q146" s="288">
        <f t="shared" si="17"/>
        <v>-16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9751.2000000000007</v>
      </c>
      <c r="N152" s="145">
        <f>SUM(N122:N151)</f>
        <v>19005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46188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/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0</v>
      </c>
      <c r="L159" s="214"/>
      <c r="M159" s="119"/>
      <c r="N159" s="115"/>
      <c r="O159" s="262"/>
      <c r="P159" s="263"/>
      <c r="Q159" s="263"/>
      <c r="R159" s="263"/>
      <c r="S159" s="244"/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/>
      <c r="F160" s="256"/>
      <c r="G160" s="257">
        <f>B80</f>
        <v>0</v>
      </c>
      <c r="H160" s="257"/>
      <c r="I160" s="257">
        <f>J66</f>
        <v>0</v>
      </c>
      <c r="J160" s="257"/>
      <c r="K160" s="257">
        <f t="shared" ref="K160:K166" si="18">E160+G160-I160</f>
        <v>0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0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0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'DOMINGO 14'!E171</f>
        <v>6262</v>
      </c>
      <c r="F169" s="224"/>
      <c r="G169" s="226" t="s">
        <v>85</v>
      </c>
      <c r="H169" s="226"/>
      <c r="I169" s="213">
        <f>'DOMINGO 14'!I171:J171</f>
        <v>470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'DOMINGO 14'!I172:J172</f>
        <v>5792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6262</v>
      </c>
      <c r="F171" s="204"/>
      <c r="G171" s="207" t="s">
        <v>85</v>
      </c>
      <c r="H171" s="207"/>
      <c r="I171" s="208">
        <f>I167-S167+I169-Q169</f>
        <v>470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-470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5792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-5792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98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97" priority="10" operator="lessThan">
      <formula>0</formula>
    </cfRule>
  </conditionalFormatting>
  <conditionalFormatting sqref="H71:I75">
    <cfRule type="cellIs" dxfId="96" priority="9" operator="greaterThan">
      <formula>0</formula>
    </cfRule>
  </conditionalFormatting>
  <conditionalFormatting sqref="H77:I81">
    <cfRule type="cellIs" dxfId="95" priority="8" operator="greaterThan">
      <formula>0</formula>
    </cfRule>
  </conditionalFormatting>
  <conditionalFormatting sqref="H83:I87">
    <cfRule type="cellIs" dxfId="94" priority="7" operator="greaterThan">
      <formula>0</formula>
    </cfRule>
  </conditionalFormatting>
  <conditionalFormatting sqref="H89:I93">
    <cfRule type="cellIs" dxfId="93" priority="6" operator="greaterThan">
      <formula>0</formula>
    </cfRule>
  </conditionalFormatting>
  <conditionalFormatting sqref="H95:I99">
    <cfRule type="cellIs" dxfId="92" priority="5" operator="greaterThan">
      <formula>0</formula>
    </cfRule>
  </conditionalFormatting>
  <conditionalFormatting sqref="H101:I105">
    <cfRule type="cellIs" dxfId="91" priority="4" operator="greaterThan">
      <formula>0</formula>
    </cfRule>
  </conditionalFormatting>
  <conditionalFormatting sqref="H107:I111">
    <cfRule type="cellIs" dxfId="90" priority="3" operator="greaterThan">
      <formula>0</formula>
    </cfRule>
  </conditionalFormatting>
  <conditionalFormatting sqref="H113:I117">
    <cfRule type="cellIs" dxfId="89" priority="2" operator="greaterThan">
      <formula>0</formula>
    </cfRule>
  </conditionalFormatting>
  <conditionalFormatting sqref="S171:T172">
    <cfRule type="cellIs" dxfId="88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5C55-6548-4DE8-92E6-EEB645C7154E}">
  <dimension ref="A1:Z182"/>
  <sheetViews>
    <sheetView topLeftCell="B170" zoomScale="85" zoomScaleNormal="85" workbookViewId="0">
      <selection activeCell="B175" sqref="B175:V175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46187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/>
      <c r="P4" s="45">
        <f>O4*N4</f>
        <v>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/>
      <c r="F7" s="105">
        <f t="shared" si="0"/>
        <v>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/>
      <c r="F8" s="104">
        <f t="shared" si="0"/>
        <v>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/>
      <c r="F9" s="105">
        <f t="shared" si="0"/>
        <v>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/>
      <c r="F10" s="104">
        <f t="shared" si="0"/>
        <v>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/>
      <c r="F18" s="105">
        <f t="shared" si="0"/>
        <v>0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46187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/>
      <c r="F40" s="16">
        <f t="shared" si="5"/>
        <v>0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/>
      <c r="J42" s="16">
        <f t="shared" si="7"/>
        <v>0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0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46187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46187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-18.833333333333332</v>
      </c>
      <c r="B122" s="96" t="s">
        <v>10</v>
      </c>
      <c r="C122" s="104">
        <v>15</v>
      </c>
      <c r="D122" s="104">
        <v>30</v>
      </c>
      <c r="E122" s="287">
        <f>'SABADO 13'!K122</f>
        <v>113</v>
      </c>
      <c r="F122" s="287"/>
      <c r="G122" s="260"/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113</v>
      </c>
      <c r="L122" s="287"/>
      <c r="M122" s="143">
        <f>K122*C122</f>
        <v>1695</v>
      </c>
      <c r="N122" s="143">
        <f>K122*D122</f>
        <v>3390</v>
      </c>
      <c r="O122" s="282"/>
      <c r="P122" s="282"/>
      <c r="Q122" s="288">
        <f>O122-K122</f>
        <v>-113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-9.6666666666666661</v>
      </c>
      <c r="B123" s="97" t="s">
        <v>9</v>
      </c>
      <c r="C123" s="105">
        <v>14</v>
      </c>
      <c r="D123" s="105">
        <v>30</v>
      </c>
      <c r="E123" s="281">
        <f>'SABADO 13'!K123</f>
        <v>58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58</v>
      </c>
      <c r="L123" s="281"/>
      <c r="M123" s="144">
        <f>K123*C123</f>
        <v>812</v>
      </c>
      <c r="N123" s="144">
        <f>K123*D123</f>
        <v>1740</v>
      </c>
      <c r="O123" s="282"/>
      <c r="P123" s="282"/>
      <c r="Q123" s="283">
        <f>O123-K123</f>
        <v>-58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-5.333333333333333</v>
      </c>
      <c r="B124" s="96" t="s">
        <v>7</v>
      </c>
      <c r="C124" s="104">
        <v>17</v>
      </c>
      <c r="D124" s="104">
        <v>35</v>
      </c>
      <c r="E124" s="287">
        <f>'SABADO 13'!K124</f>
        <v>32</v>
      </c>
      <c r="F124" s="287"/>
      <c r="G124" s="260"/>
      <c r="H124" s="260"/>
      <c r="I124" s="287">
        <f>E6+G6+E15*6+E24*2+E40+G40+I40+K40+O40+Q40+S40+U40+W40</f>
        <v>0</v>
      </c>
      <c r="J124" s="287"/>
      <c r="K124" s="287">
        <f t="shared" ref="K124:K146" si="14">E124+G124-I124</f>
        <v>32</v>
      </c>
      <c r="L124" s="287"/>
      <c r="M124" s="143">
        <f t="shared" ref="M124:M151" si="15">K124*C124</f>
        <v>544</v>
      </c>
      <c r="N124" s="143">
        <f t="shared" ref="N124:N151" si="16">K124*D124</f>
        <v>1120</v>
      </c>
      <c r="O124" s="282"/>
      <c r="P124" s="282"/>
      <c r="Q124" s="288">
        <f t="shared" ref="Q124:Q146" si="17">O124-K124</f>
        <v>-32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-6</v>
      </c>
      <c r="B125" s="97" t="s">
        <v>8</v>
      </c>
      <c r="C125" s="105">
        <v>17</v>
      </c>
      <c r="D125" s="105">
        <v>35</v>
      </c>
      <c r="E125" s="281">
        <f>'SABADO 13'!K125</f>
        <v>36</v>
      </c>
      <c r="F125" s="281"/>
      <c r="G125" s="260"/>
      <c r="H125" s="260"/>
      <c r="I125" s="281">
        <f>E7+G7+E16*6+E25*2+E41+G41+I41+K41+O41+Q41+S41+U41+W41</f>
        <v>0</v>
      </c>
      <c r="J125" s="281"/>
      <c r="K125" s="281">
        <f t="shared" si="14"/>
        <v>36</v>
      </c>
      <c r="L125" s="281"/>
      <c r="M125" s="144">
        <f t="shared" si="15"/>
        <v>612</v>
      </c>
      <c r="N125" s="144">
        <f t="shared" si="16"/>
        <v>1260</v>
      </c>
      <c r="O125" s="282"/>
      <c r="P125" s="282"/>
      <c r="Q125" s="283">
        <f t="shared" si="17"/>
        <v>-36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-4</v>
      </c>
      <c r="B126" s="96" t="s">
        <v>6</v>
      </c>
      <c r="C126" s="104">
        <v>37</v>
      </c>
      <c r="D126" s="104">
        <v>70</v>
      </c>
      <c r="E126" s="287">
        <f>'SABADO 13'!K126</f>
        <v>12</v>
      </c>
      <c r="F126" s="287"/>
      <c r="G126" s="260"/>
      <c r="H126" s="260"/>
      <c r="I126" s="287">
        <f>E8+G8+E17*3++E42+G42+I42+K42+O42+Q42+S42+U42+W42+H73+H79+H85+H91+H97+H103+H109+H115</f>
        <v>0</v>
      </c>
      <c r="J126" s="287"/>
      <c r="K126" s="287">
        <f t="shared" si="14"/>
        <v>12</v>
      </c>
      <c r="L126" s="287"/>
      <c r="M126" s="143">
        <f t="shared" si="15"/>
        <v>444</v>
      </c>
      <c r="N126" s="143">
        <f t="shared" si="16"/>
        <v>840</v>
      </c>
      <c r="O126" s="282"/>
      <c r="P126" s="282"/>
      <c r="Q126" s="288">
        <f t="shared" si="17"/>
        <v>-12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-6.333333333333333</v>
      </c>
      <c r="B127" s="97" t="s">
        <v>5</v>
      </c>
      <c r="C127" s="105">
        <v>35</v>
      </c>
      <c r="D127" s="105">
        <v>60</v>
      </c>
      <c r="E127" s="281">
        <f>'SABADO 13'!K127</f>
        <v>19</v>
      </c>
      <c r="F127" s="281"/>
      <c r="G127" s="260"/>
      <c r="H127" s="260"/>
      <c r="I127" s="281">
        <f>E9+G9+E18*3+E43+G43+I43+K43+O43+Q43+S43+U43+W43++H75+H81+H87+H93+H99+H105+H111+H117</f>
        <v>0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/>
      <c r="P127" s="282"/>
      <c r="Q127" s="283">
        <f t="shared" si="17"/>
        <v>-19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-3</v>
      </c>
      <c r="B128" s="96" t="s">
        <v>4</v>
      </c>
      <c r="C128" s="104">
        <v>35</v>
      </c>
      <c r="D128" s="104">
        <v>60</v>
      </c>
      <c r="E128" s="287">
        <f>'SABADO 13'!K128</f>
        <v>9</v>
      </c>
      <c r="F128" s="287"/>
      <c r="G128" s="260"/>
      <c r="H128" s="260"/>
      <c r="I128" s="287">
        <f>E10+G10+E19*3+E44+G44+I44+K44+O44+Q44+S44+U44+W44+H74+H80+H86+H92+H98+H104+H110+H116</f>
        <v>0</v>
      </c>
      <c r="J128" s="287"/>
      <c r="K128" s="287">
        <f t="shared" si="14"/>
        <v>9</v>
      </c>
      <c r="L128" s="287"/>
      <c r="M128" s="143">
        <f t="shared" si="15"/>
        <v>315</v>
      </c>
      <c r="N128" s="143">
        <f t="shared" si="16"/>
        <v>540</v>
      </c>
      <c r="O128" s="282"/>
      <c r="P128" s="282"/>
      <c r="Q128" s="288">
        <f t="shared" si="17"/>
        <v>-9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-15</v>
      </c>
      <c r="B129" s="97" t="s">
        <v>2</v>
      </c>
      <c r="C129" s="105">
        <v>41</v>
      </c>
      <c r="D129" s="105">
        <v>80</v>
      </c>
      <c r="E129" s="281">
        <f>'SABADO 13'!K129</f>
        <v>45</v>
      </c>
      <c r="F129" s="281"/>
      <c r="G129" s="260"/>
      <c r="H129" s="260"/>
      <c r="I129" s="281">
        <f>E11+G11+E20*3+E45+G45+I45+K45+O45+Q45+S45+U45+W45</f>
        <v>0</v>
      </c>
      <c r="J129" s="281"/>
      <c r="K129" s="281">
        <f t="shared" si="14"/>
        <v>45</v>
      </c>
      <c r="L129" s="281"/>
      <c r="M129" s="144">
        <f t="shared" si="15"/>
        <v>1845</v>
      </c>
      <c r="N129" s="144">
        <f t="shared" si="16"/>
        <v>3600</v>
      </c>
      <c r="O129" s="282"/>
      <c r="P129" s="282"/>
      <c r="Q129" s="283">
        <f t="shared" si="17"/>
        <v>-45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-8</v>
      </c>
      <c r="B130" s="96" t="s">
        <v>3</v>
      </c>
      <c r="C130" s="104">
        <v>41</v>
      </c>
      <c r="D130" s="104">
        <v>80</v>
      </c>
      <c r="E130" s="287">
        <f>'SABADO 13'!K130</f>
        <v>24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/>
      <c r="P130" s="282"/>
      <c r="Q130" s="288">
        <f t="shared" si="17"/>
        <v>-24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'SABADO 13'!K131</f>
        <v>86</v>
      </c>
      <c r="F131" s="281"/>
      <c r="G131" s="260"/>
      <c r="H131" s="260"/>
      <c r="I131" s="281">
        <f>O4+E47+G47+I47+K47+O47+Q47+S47+U47+W47</f>
        <v>0</v>
      </c>
      <c r="J131" s="281"/>
      <c r="K131" s="281">
        <f t="shared" si="14"/>
        <v>86</v>
      </c>
      <c r="L131" s="281"/>
      <c r="M131" s="144">
        <f t="shared" si="15"/>
        <v>516</v>
      </c>
      <c r="N131" s="144">
        <f t="shared" si="16"/>
        <v>860</v>
      </c>
      <c r="O131" s="282"/>
      <c r="P131" s="282"/>
      <c r="Q131" s="283">
        <f t="shared" si="17"/>
        <v>-86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'SABADO 13'!K132</f>
        <v>21</v>
      </c>
      <c r="F132" s="287"/>
      <c r="G132" s="260"/>
      <c r="H132" s="260"/>
      <c r="I132" s="287">
        <f>O5+Q5+E48+G48+I48+K48+O48+Q48+S48+U48+W48</f>
        <v>0</v>
      </c>
      <c r="J132" s="287"/>
      <c r="K132" s="287">
        <f t="shared" si="14"/>
        <v>21</v>
      </c>
      <c r="L132" s="287"/>
      <c r="M132" s="143">
        <f t="shared" si="15"/>
        <v>273</v>
      </c>
      <c r="N132" s="143">
        <f t="shared" si="16"/>
        <v>525</v>
      </c>
      <c r="O132" s="282"/>
      <c r="P132" s="282"/>
      <c r="Q132" s="288">
        <f t="shared" si="17"/>
        <v>-21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'SABADO 13'!K133</f>
        <v>7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7</v>
      </c>
      <c r="L133" s="281"/>
      <c r="M133" s="144">
        <f t="shared" si="15"/>
        <v>77</v>
      </c>
      <c r="N133" s="144">
        <f t="shared" si="16"/>
        <v>245</v>
      </c>
      <c r="O133" s="282"/>
      <c r="P133" s="282"/>
      <c r="Q133" s="283">
        <f t="shared" si="17"/>
        <v>-7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'SABADO 13'!K134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/>
      <c r="P134" s="282"/>
      <c r="Q134" s="288">
        <f t="shared" si="17"/>
        <v>-4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'SABADO 13'!K135</f>
        <v>9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9</v>
      </c>
      <c r="L135" s="281"/>
      <c r="M135" s="144">
        <f t="shared" si="15"/>
        <v>133.20000000000002</v>
      </c>
      <c r="N135" s="144">
        <f t="shared" si="16"/>
        <v>315</v>
      </c>
      <c r="O135" s="282"/>
      <c r="P135" s="282"/>
      <c r="Q135" s="283">
        <f t="shared" si="17"/>
        <v>-9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'SABADO 13'!K136</f>
        <v>12</v>
      </c>
      <c r="F136" s="287"/>
      <c r="G136" s="260"/>
      <c r="H136" s="260"/>
      <c r="I136" s="287">
        <f>O10+Q10+E52+G52+I52+K52+O52+Q52+S52+U52+W52</f>
        <v>0</v>
      </c>
      <c r="J136" s="287"/>
      <c r="K136" s="287">
        <f t="shared" si="14"/>
        <v>12</v>
      </c>
      <c r="L136" s="287"/>
      <c r="M136" s="143">
        <f t="shared" si="15"/>
        <v>156</v>
      </c>
      <c r="N136" s="143">
        <f t="shared" si="16"/>
        <v>240</v>
      </c>
      <c r="O136" s="282"/>
      <c r="P136" s="282"/>
      <c r="Q136" s="288">
        <f t="shared" si="17"/>
        <v>-12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'SABADO 13'!K137</f>
        <v>6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6</v>
      </c>
      <c r="L137" s="281"/>
      <c r="M137" s="144">
        <f t="shared" si="15"/>
        <v>66</v>
      </c>
      <c r="N137" s="144">
        <f t="shared" si="16"/>
        <v>120</v>
      </c>
      <c r="O137" s="282"/>
      <c r="P137" s="282"/>
      <c r="Q137" s="283">
        <f t="shared" si="17"/>
        <v>-6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'SABADO 13'!K138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/>
      <c r="P138" s="282"/>
      <c r="Q138" s="288">
        <f t="shared" si="17"/>
        <v>-3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'SABADO 13'!K139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/>
      <c r="P139" s="282"/>
      <c r="Q139" s="283">
        <f t="shared" si="17"/>
        <v>-2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'SABADO 13'!K140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/>
      <c r="P140" s="282"/>
      <c r="Q140" s="288">
        <f t="shared" si="17"/>
        <v>-1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'SABADO 13'!K141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/>
      <c r="P141" s="282"/>
      <c r="Q141" s="283">
        <f t="shared" si="17"/>
        <v>-3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'SABADO 13'!K142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/>
      <c r="P142" s="282"/>
      <c r="Q142" s="288">
        <f t="shared" si="17"/>
        <v>-2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'SABADO 13'!K143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/>
      <c r="P143" s="282"/>
      <c r="Q143" s="283">
        <f t="shared" si="17"/>
        <v>-1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'SABADO 13'!K144</f>
        <v>3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3</v>
      </c>
      <c r="L144" s="287"/>
      <c r="M144" s="143">
        <f t="shared" si="15"/>
        <v>24</v>
      </c>
      <c r="N144" s="143">
        <f t="shared" si="16"/>
        <v>45</v>
      </c>
      <c r="O144" s="282"/>
      <c r="P144" s="282"/>
      <c r="Q144" s="288">
        <f t="shared" si="17"/>
        <v>-3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'SABADO 13'!K145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/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'SABADO 13'!K146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/>
      <c r="P146" s="282"/>
      <c r="Q146" s="288">
        <f t="shared" si="17"/>
        <v>-16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9751.2000000000007</v>
      </c>
      <c r="N152" s="145">
        <f>SUM(N122:N151)</f>
        <v>19005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46187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/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0</v>
      </c>
      <c r="L159" s="214"/>
      <c r="M159" s="119"/>
      <c r="N159" s="115"/>
      <c r="O159" s="262"/>
      <c r="P159" s="263"/>
      <c r="Q159" s="263"/>
      <c r="R159" s="263"/>
      <c r="S159" s="244"/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/>
      <c r="F160" s="256"/>
      <c r="G160" s="257">
        <f>B80</f>
        <v>0</v>
      </c>
      <c r="H160" s="257"/>
      <c r="I160" s="257">
        <f>J66</f>
        <v>0</v>
      </c>
      <c r="J160" s="257"/>
      <c r="K160" s="257">
        <f t="shared" ref="K160:K166" si="18">E160+G160-I160</f>
        <v>0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0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0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'SABADO 13'!E171</f>
        <v>6262</v>
      </c>
      <c r="F169" s="224"/>
      <c r="G169" s="226" t="s">
        <v>85</v>
      </c>
      <c r="H169" s="226"/>
      <c r="I169" s="213">
        <f>'SABADO 13'!I171:J171</f>
        <v>470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'SABADO 13'!I172:J172</f>
        <v>5792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6262</v>
      </c>
      <c r="F171" s="204"/>
      <c r="G171" s="207" t="s">
        <v>85</v>
      </c>
      <c r="H171" s="207"/>
      <c r="I171" s="208">
        <f>I167-S167+I169-Q169</f>
        <v>470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-470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5792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-5792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87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86" priority="10" operator="lessThan">
      <formula>0</formula>
    </cfRule>
  </conditionalFormatting>
  <conditionalFormatting sqref="H71:I75">
    <cfRule type="cellIs" dxfId="85" priority="9" operator="greaterThan">
      <formula>0</formula>
    </cfRule>
  </conditionalFormatting>
  <conditionalFormatting sqref="H77:I81">
    <cfRule type="cellIs" dxfId="84" priority="8" operator="greaterThan">
      <formula>0</formula>
    </cfRule>
  </conditionalFormatting>
  <conditionalFormatting sqref="H83:I87">
    <cfRule type="cellIs" dxfId="83" priority="7" operator="greaterThan">
      <formula>0</formula>
    </cfRule>
  </conditionalFormatting>
  <conditionalFormatting sqref="H89:I93">
    <cfRule type="cellIs" dxfId="82" priority="6" operator="greaterThan">
      <formula>0</formula>
    </cfRule>
  </conditionalFormatting>
  <conditionalFormatting sqref="H95:I99">
    <cfRule type="cellIs" dxfId="81" priority="5" operator="greaterThan">
      <formula>0</formula>
    </cfRule>
  </conditionalFormatting>
  <conditionalFormatting sqref="H101:I105">
    <cfRule type="cellIs" dxfId="80" priority="4" operator="greaterThan">
      <formula>0</formula>
    </cfRule>
  </conditionalFormatting>
  <conditionalFormatting sqref="H107:I111">
    <cfRule type="cellIs" dxfId="79" priority="3" operator="greaterThan">
      <formula>0</formula>
    </cfRule>
  </conditionalFormatting>
  <conditionalFormatting sqref="H113:I117">
    <cfRule type="cellIs" dxfId="78" priority="2" operator="greaterThan">
      <formula>0</formula>
    </cfRule>
  </conditionalFormatting>
  <conditionalFormatting sqref="S171:T172">
    <cfRule type="cellIs" dxfId="77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02F2-550F-40E9-9E19-FE9662E76067}">
  <dimension ref="A1:Z182"/>
  <sheetViews>
    <sheetView topLeftCell="B161" zoomScale="85" zoomScaleNormal="85" workbookViewId="0">
      <selection activeCell="U169" sqref="U169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46185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/>
      <c r="P4" s="45">
        <f>O4*N4</f>
        <v>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/>
      <c r="F7" s="105">
        <f t="shared" si="0"/>
        <v>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/>
      <c r="F8" s="104">
        <f t="shared" si="0"/>
        <v>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/>
      <c r="F9" s="105">
        <f t="shared" si="0"/>
        <v>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/>
      <c r="F10" s="104">
        <f t="shared" si="0"/>
        <v>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/>
      <c r="F18" s="105">
        <f t="shared" si="0"/>
        <v>0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46185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/>
      <c r="F40" s="16">
        <f t="shared" si="5"/>
        <v>0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/>
      <c r="J42" s="16">
        <f t="shared" si="7"/>
        <v>0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0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46185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46185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-18.833333333333332</v>
      </c>
      <c r="B122" s="96" t="s">
        <v>10</v>
      </c>
      <c r="C122" s="104">
        <v>15</v>
      </c>
      <c r="D122" s="104">
        <v>30</v>
      </c>
      <c r="E122" s="287">
        <f>'VIERNES 12'!K122</f>
        <v>113</v>
      </c>
      <c r="F122" s="287"/>
      <c r="G122" s="260"/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113</v>
      </c>
      <c r="L122" s="287"/>
      <c r="M122" s="143">
        <f>K122*C122</f>
        <v>1695</v>
      </c>
      <c r="N122" s="143">
        <f>K122*D122</f>
        <v>3390</v>
      </c>
      <c r="O122" s="282"/>
      <c r="P122" s="282"/>
      <c r="Q122" s="288">
        <f>O122-K122</f>
        <v>-113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-9.6666666666666661</v>
      </c>
      <c r="B123" s="97" t="s">
        <v>9</v>
      </c>
      <c r="C123" s="105">
        <v>14</v>
      </c>
      <c r="D123" s="105">
        <v>30</v>
      </c>
      <c r="E123" s="281">
        <f>'VIERNES 12'!K123</f>
        <v>58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58</v>
      </c>
      <c r="L123" s="281"/>
      <c r="M123" s="144">
        <f>K123*C123</f>
        <v>812</v>
      </c>
      <c r="N123" s="144">
        <f>K123*D123</f>
        <v>1740</v>
      </c>
      <c r="O123" s="282"/>
      <c r="P123" s="282"/>
      <c r="Q123" s="283">
        <f>O123-K123</f>
        <v>-58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-5.333333333333333</v>
      </c>
      <c r="B124" s="96" t="s">
        <v>7</v>
      </c>
      <c r="C124" s="104">
        <v>17</v>
      </c>
      <c r="D124" s="104">
        <v>35</v>
      </c>
      <c r="E124" s="287">
        <f>'VIERNES 12'!K124</f>
        <v>32</v>
      </c>
      <c r="F124" s="287"/>
      <c r="G124" s="260"/>
      <c r="H124" s="260"/>
      <c r="I124" s="287">
        <f>E6+G6+E15*6+E24*2+E40+G40+I40+K40+O40+Q40+S40+U40+W40</f>
        <v>0</v>
      </c>
      <c r="J124" s="287"/>
      <c r="K124" s="287">
        <f t="shared" ref="K124:K146" si="14">E124+G124-I124</f>
        <v>32</v>
      </c>
      <c r="L124" s="287"/>
      <c r="M124" s="143">
        <f t="shared" ref="M124:M151" si="15">K124*C124</f>
        <v>544</v>
      </c>
      <c r="N124" s="143">
        <f t="shared" ref="N124:N151" si="16">K124*D124</f>
        <v>1120</v>
      </c>
      <c r="O124" s="282"/>
      <c r="P124" s="282"/>
      <c r="Q124" s="288">
        <f t="shared" ref="Q124:Q146" si="17">O124-K124</f>
        <v>-32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-6</v>
      </c>
      <c r="B125" s="97" t="s">
        <v>8</v>
      </c>
      <c r="C125" s="105">
        <v>17</v>
      </c>
      <c r="D125" s="105">
        <v>35</v>
      </c>
      <c r="E125" s="281">
        <f>'VIERNES 12'!K125</f>
        <v>36</v>
      </c>
      <c r="F125" s="281"/>
      <c r="G125" s="260"/>
      <c r="H125" s="260"/>
      <c r="I125" s="281">
        <f>E7+G7+E16*6+E25*2+E41+G41+I41+K41+O41+Q41+S41+U41+W41</f>
        <v>0</v>
      </c>
      <c r="J125" s="281"/>
      <c r="K125" s="281">
        <f t="shared" si="14"/>
        <v>36</v>
      </c>
      <c r="L125" s="281"/>
      <c r="M125" s="144">
        <f t="shared" si="15"/>
        <v>612</v>
      </c>
      <c r="N125" s="144">
        <f t="shared" si="16"/>
        <v>1260</v>
      </c>
      <c r="O125" s="282"/>
      <c r="P125" s="282"/>
      <c r="Q125" s="283">
        <f t="shared" si="17"/>
        <v>-36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-4</v>
      </c>
      <c r="B126" s="96" t="s">
        <v>6</v>
      </c>
      <c r="C126" s="104">
        <v>37</v>
      </c>
      <c r="D126" s="104">
        <v>70</v>
      </c>
      <c r="E126" s="287">
        <f>'VIERNES 12'!K126</f>
        <v>12</v>
      </c>
      <c r="F126" s="287"/>
      <c r="G126" s="260"/>
      <c r="H126" s="260"/>
      <c r="I126" s="287">
        <f>E8+G8+E17*3++E42+G42+I42+K42+O42+Q42+S42+U42+W42+H73+H79+H85+H91+H97+H103+H109+H115</f>
        <v>0</v>
      </c>
      <c r="J126" s="287"/>
      <c r="K126" s="287">
        <f t="shared" si="14"/>
        <v>12</v>
      </c>
      <c r="L126" s="287"/>
      <c r="M126" s="143">
        <f t="shared" si="15"/>
        <v>444</v>
      </c>
      <c r="N126" s="143">
        <f t="shared" si="16"/>
        <v>840</v>
      </c>
      <c r="O126" s="282"/>
      <c r="P126" s="282"/>
      <c r="Q126" s="288">
        <f t="shared" si="17"/>
        <v>-12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-6.333333333333333</v>
      </c>
      <c r="B127" s="97" t="s">
        <v>5</v>
      </c>
      <c r="C127" s="105">
        <v>35</v>
      </c>
      <c r="D127" s="105">
        <v>60</v>
      </c>
      <c r="E127" s="281">
        <f>'VIERNES 12'!K127</f>
        <v>19</v>
      </c>
      <c r="F127" s="281"/>
      <c r="G127" s="260"/>
      <c r="H127" s="260"/>
      <c r="I127" s="281">
        <f>E9+G9+E18*3+E43+G43+I43+K43+O43+Q43+S43+U43+W43++H75+H81+H87+H93+H99+H105+H111+H117</f>
        <v>0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/>
      <c r="P127" s="282"/>
      <c r="Q127" s="283">
        <f t="shared" si="17"/>
        <v>-19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-3</v>
      </c>
      <c r="B128" s="96" t="s">
        <v>4</v>
      </c>
      <c r="C128" s="104">
        <v>35</v>
      </c>
      <c r="D128" s="104">
        <v>60</v>
      </c>
      <c r="E128" s="287">
        <f>'VIERNES 12'!K128</f>
        <v>9</v>
      </c>
      <c r="F128" s="287"/>
      <c r="G128" s="260"/>
      <c r="H128" s="260"/>
      <c r="I128" s="287">
        <f>E10+G10+E19*3+E44+G44+I44+K44+O44+Q44+S44+U44+W44+H74+H80+H86+H92+H98+H104+H110+H116</f>
        <v>0</v>
      </c>
      <c r="J128" s="287"/>
      <c r="K128" s="287">
        <f t="shared" si="14"/>
        <v>9</v>
      </c>
      <c r="L128" s="287"/>
      <c r="M128" s="143">
        <f t="shared" si="15"/>
        <v>315</v>
      </c>
      <c r="N128" s="143">
        <f t="shared" si="16"/>
        <v>540</v>
      </c>
      <c r="O128" s="282"/>
      <c r="P128" s="282"/>
      <c r="Q128" s="288">
        <f t="shared" si="17"/>
        <v>-9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-15</v>
      </c>
      <c r="B129" s="97" t="s">
        <v>2</v>
      </c>
      <c r="C129" s="105">
        <v>41</v>
      </c>
      <c r="D129" s="105">
        <v>80</v>
      </c>
      <c r="E129" s="281">
        <f>'VIERNES 12'!K129</f>
        <v>45</v>
      </c>
      <c r="F129" s="281"/>
      <c r="G129" s="260"/>
      <c r="H129" s="260"/>
      <c r="I129" s="281">
        <f>E11+G11+E20*3+E45+G45+I45+K45+O45+Q45+S45+U45+W45</f>
        <v>0</v>
      </c>
      <c r="J129" s="281"/>
      <c r="K129" s="281">
        <f t="shared" si="14"/>
        <v>45</v>
      </c>
      <c r="L129" s="281"/>
      <c r="M129" s="144">
        <f t="shared" si="15"/>
        <v>1845</v>
      </c>
      <c r="N129" s="144">
        <f t="shared" si="16"/>
        <v>3600</v>
      </c>
      <c r="O129" s="282"/>
      <c r="P129" s="282"/>
      <c r="Q129" s="283">
        <f t="shared" si="17"/>
        <v>-45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-8</v>
      </c>
      <c r="B130" s="96" t="s">
        <v>3</v>
      </c>
      <c r="C130" s="104">
        <v>41</v>
      </c>
      <c r="D130" s="104">
        <v>80</v>
      </c>
      <c r="E130" s="287">
        <f>'VIERNES 12'!K130</f>
        <v>24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/>
      <c r="P130" s="282"/>
      <c r="Q130" s="288">
        <f t="shared" si="17"/>
        <v>-24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'VIERNES 12'!K131</f>
        <v>86</v>
      </c>
      <c r="F131" s="281"/>
      <c r="G131" s="260"/>
      <c r="H131" s="260"/>
      <c r="I131" s="281">
        <f>O4+E47+G47+I47+K47+O47+Q47+S47+U47+W47</f>
        <v>0</v>
      </c>
      <c r="J131" s="281"/>
      <c r="K131" s="281">
        <f t="shared" si="14"/>
        <v>86</v>
      </c>
      <c r="L131" s="281"/>
      <c r="M131" s="144">
        <f t="shared" si="15"/>
        <v>516</v>
      </c>
      <c r="N131" s="144">
        <f t="shared" si="16"/>
        <v>860</v>
      </c>
      <c r="O131" s="282"/>
      <c r="P131" s="282"/>
      <c r="Q131" s="283">
        <f t="shared" si="17"/>
        <v>-86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'VIERNES 12'!K132</f>
        <v>21</v>
      </c>
      <c r="F132" s="287"/>
      <c r="G132" s="260"/>
      <c r="H132" s="260"/>
      <c r="I132" s="287">
        <f>O5+Q5+E48+G48+I48+K48+O48+Q48+S48+U48+W48</f>
        <v>0</v>
      </c>
      <c r="J132" s="287"/>
      <c r="K132" s="287">
        <f t="shared" si="14"/>
        <v>21</v>
      </c>
      <c r="L132" s="287"/>
      <c r="M132" s="143">
        <f t="shared" si="15"/>
        <v>273</v>
      </c>
      <c r="N132" s="143">
        <f t="shared" si="16"/>
        <v>525</v>
      </c>
      <c r="O132" s="282"/>
      <c r="P132" s="282"/>
      <c r="Q132" s="288">
        <f t="shared" si="17"/>
        <v>-21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'VIERNES 12'!K133</f>
        <v>7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7</v>
      </c>
      <c r="L133" s="281"/>
      <c r="M133" s="144">
        <f t="shared" si="15"/>
        <v>77</v>
      </c>
      <c r="N133" s="144">
        <f t="shared" si="16"/>
        <v>245</v>
      </c>
      <c r="O133" s="282"/>
      <c r="P133" s="282"/>
      <c r="Q133" s="283">
        <f t="shared" si="17"/>
        <v>-7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'VIERNES 12'!K134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/>
      <c r="P134" s="282"/>
      <c r="Q134" s="288">
        <f t="shared" si="17"/>
        <v>-4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'VIERNES 12'!K135</f>
        <v>9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9</v>
      </c>
      <c r="L135" s="281"/>
      <c r="M135" s="144">
        <f t="shared" si="15"/>
        <v>133.20000000000002</v>
      </c>
      <c r="N135" s="144">
        <f t="shared" si="16"/>
        <v>315</v>
      </c>
      <c r="O135" s="282"/>
      <c r="P135" s="282"/>
      <c r="Q135" s="283">
        <f t="shared" si="17"/>
        <v>-9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'VIERNES 12'!K136</f>
        <v>12</v>
      </c>
      <c r="F136" s="287"/>
      <c r="G136" s="260"/>
      <c r="H136" s="260"/>
      <c r="I136" s="287">
        <f>O10+Q10+E52+G52+I52+K52+O52+Q52+S52+U52+W52</f>
        <v>0</v>
      </c>
      <c r="J136" s="287"/>
      <c r="K136" s="287">
        <f t="shared" si="14"/>
        <v>12</v>
      </c>
      <c r="L136" s="287"/>
      <c r="M136" s="143">
        <f t="shared" si="15"/>
        <v>156</v>
      </c>
      <c r="N136" s="143">
        <f t="shared" si="16"/>
        <v>240</v>
      </c>
      <c r="O136" s="282"/>
      <c r="P136" s="282"/>
      <c r="Q136" s="288">
        <f t="shared" si="17"/>
        <v>-12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'VIERNES 12'!K137</f>
        <v>6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6</v>
      </c>
      <c r="L137" s="281"/>
      <c r="M137" s="144">
        <f t="shared" si="15"/>
        <v>66</v>
      </c>
      <c r="N137" s="144">
        <f t="shared" si="16"/>
        <v>120</v>
      </c>
      <c r="O137" s="282"/>
      <c r="P137" s="282"/>
      <c r="Q137" s="283">
        <f t="shared" si="17"/>
        <v>-6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'VIERNES 12'!K138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/>
      <c r="P138" s="282"/>
      <c r="Q138" s="288">
        <f t="shared" si="17"/>
        <v>-3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'VIERNES 12'!K139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/>
      <c r="P139" s="282"/>
      <c r="Q139" s="283">
        <f t="shared" si="17"/>
        <v>-2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'VIERNES 12'!K140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/>
      <c r="P140" s="282"/>
      <c r="Q140" s="288">
        <f t="shared" si="17"/>
        <v>-1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'VIERNES 12'!K141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/>
      <c r="P141" s="282"/>
      <c r="Q141" s="283">
        <f t="shared" si="17"/>
        <v>-3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'VIERNES 12'!K142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/>
      <c r="P142" s="282"/>
      <c r="Q142" s="288">
        <f t="shared" si="17"/>
        <v>-2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'VIERNES 12'!K143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/>
      <c r="P143" s="282"/>
      <c r="Q143" s="283">
        <f t="shared" si="17"/>
        <v>-1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'VIERNES 12'!K144</f>
        <v>3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3</v>
      </c>
      <c r="L144" s="287"/>
      <c r="M144" s="143">
        <f t="shared" si="15"/>
        <v>24</v>
      </c>
      <c r="N144" s="143">
        <f t="shared" si="16"/>
        <v>45</v>
      </c>
      <c r="O144" s="282"/>
      <c r="P144" s="282"/>
      <c r="Q144" s="288">
        <f t="shared" si="17"/>
        <v>-3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'VIERNES 12'!K145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/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'VIERNES 12'!K146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/>
      <c r="P146" s="282"/>
      <c r="Q146" s="288">
        <f t="shared" si="17"/>
        <v>-16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9751.2000000000007</v>
      </c>
      <c r="N152" s="145">
        <f>SUM(N122:N151)</f>
        <v>19005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46185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/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0</v>
      </c>
      <c r="L159" s="214"/>
      <c r="M159" s="119"/>
      <c r="N159" s="115"/>
      <c r="O159" s="262"/>
      <c r="P159" s="263"/>
      <c r="Q159" s="263"/>
      <c r="R159" s="263"/>
      <c r="S159" s="244"/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/>
      <c r="F160" s="256"/>
      <c r="G160" s="257">
        <f>B80</f>
        <v>0</v>
      </c>
      <c r="H160" s="257"/>
      <c r="I160" s="257">
        <f>J66</f>
        <v>0</v>
      </c>
      <c r="J160" s="257"/>
      <c r="K160" s="257">
        <f t="shared" ref="K160:K166" si="18">E160+G160-I160</f>
        <v>0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0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0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'JUEVES 11'!E171</f>
        <v>6262</v>
      </c>
      <c r="F169" s="224"/>
      <c r="G169" s="226" t="s">
        <v>85</v>
      </c>
      <c r="H169" s="226"/>
      <c r="I169" s="213">
        <f>'JUEVES 11'!I171:J171</f>
        <v>470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'JUEVES 11'!I172:J172</f>
        <v>5792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6262</v>
      </c>
      <c r="F171" s="204"/>
      <c r="G171" s="207" t="s">
        <v>85</v>
      </c>
      <c r="H171" s="207"/>
      <c r="I171" s="208">
        <f>I167-S167+I169-Q169</f>
        <v>470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-470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5792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-5792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76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75" priority="10" operator="lessThan">
      <formula>0</formula>
    </cfRule>
  </conditionalFormatting>
  <conditionalFormatting sqref="H71:I75">
    <cfRule type="cellIs" dxfId="74" priority="9" operator="greaterThan">
      <formula>0</formula>
    </cfRule>
  </conditionalFormatting>
  <conditionalFormatting sqref="H77:I81">
    <cfRule type="cellIs" dxfId="73" priority="8" operator="greaterThan">
      <formula>0</formula>
    </cfRule>
  </conditionalFormatting>
  <conditionalFormatting sqref="H83:I87">
    <cfRule type="cellIs" dxfId="72" priority="7" operator="greaterThan">
      <formula>0</formula>
    </cfRule>
  </conditionalFormatting>
  <conditionalFormatting sqref="H89:I93">
    <cfRule type="cellIs" dxfId="71" priority="6" operator="greaterThan">
      <formula>0</formula>
    </cfRule>
  </conditionalFormatting>
  <conditionalFormatting sqref="H95:I99">
    <cfRule type="cellIs" dxfId="70" priority="5" operator="greaterThan">
      <formula>0</formula>
    </cfRule>
  </conditionalFormatting>
  <conditionalFormatting sqref="H101:I105">
    <cfRule type="cellIs" dxfId="69" priority="4" operator="greaterThan">
      <formula>0</formula>
    </cfRule>
  </conditionalFormatting>
  <conditionalFormatting sqref="H107:I111">
    <cfRule type="cellIs" dxfId="68" priority="3" operator="greaterThan">
      <formula>0</formula>
    </cfRule>
  </conditionalFormatting>
  <conditionalFormatting sqref="H113:I117">
    <cfRule type="cellIs" dxfId="67" priority="2" operator="greaterThan">
      <formula>0</formula>
    </cfRule>
  </conditionalFormatting>
  <conditionalFormatting sqref="S171:T172">
    <cfRule type="cellIs" dxfId="66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8A3C-536B-4F39-AF38-0DA9B6E8A9BB}">
  <dimension ref="A1:Z182"/>
  <sheetViews>
    <sheetView topLeftCell="B161" zoomScale="85" zoomScaleNormal="85" workbookViewId="0">
      <selection activeCell="B175" sqref="B175:V175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46185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/>
      <c r="P4" s="45">
        <f>O4*N4</f>
        <v>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/>
      <c r="F7" s="105">
        <f t="shared" si="0"/>
        <v>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/>
      <c r="F8" s="104">
        <f t="shared" si="0"/>
        <v>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/>
      <c r="F9" s="105">
        <f t="shared" si="0"/>
        <v>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/>
      <c r="F10" s="104">
        <f t="shared" si="0"/>
        <v>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/>
      <c r="F18" s="105">
        <f t="shared" si="0"/>
        <v>0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46185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/>
      <c r="F40" s="16">
        <f t="shared" si="5"/>
        <v>0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/>
      <c r="J42" s="16">
        <f t="shared" si="7"/>
        <v>0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0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46185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46185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-18.833333333333332</v>
      </c>
      <c r="B122" s="96" t="s">
        <v>10</v>
      </c>
      <c r="C122" s="104">
        <v>15</v>
      </c>
      <c r="D122" s="104">
        <v>30</v>
      </c>
      <c r="E122" s="287">
        <f>'JUEVES 11'!K122</f>
        <v>113</v>
      </c>
      <c r="F122" s="287"/>
      <c r="G122" s="260"/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113</v>
      </c>
      <c r="L122" s="287"/>
      <c r="M122" s="143">
        <f>K122*C122</f>
        <v>1695</v>
      </c>
      <c r="N122" s="143">
        <f>K122*D122</f>
        <v>3390</v>
      </c>
      <c r="O122" s="282"/>
      <c r="P122" s="282"/>
      <c r="Q122" s="288">
        <f>O122-K122</f>
        <v>-113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-9.6666666666666661</v>
      </c>
      <c r="B123" s="97" t="s">
        <v>9</v>
      </c>
      <c r="C123" s="105">
        <v>14</v>
      </c>
      <c r="D123" s="105">
        <v>30</v>
      </c>
      <c r="E123" s="281">
        <f>'JUEVES 11'!K123</f>
        <v>58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58</v>
      </c>
      <c r="L123" s="281"/>
      <c r="M123" s="144">
        <f>K123*C123</f>
        <v>812</v>
      </c>
      <c r="N123" s="144">
        <f>K123*D123</f>
        <v>1740</v>
      </c>
      <c r="O123" s="282"/>
      <c r="P123" s="282"/>
      <c r="Q123" s="283">
        <f>O123-K123</f>
        <v>-58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-5.333333333333333</v>
      </c>
      <c r="B124" s="96" t="s">
        <v>7</v>
      </c>
      <c r="C124" s="104">
        <v>17</v>
      </c>
      <c r="D124" s="104">
        <v>35</v>
      </c>
      <c r="E124" s="287">
        <f>'JUEVES 11'!K124</f>
        <v>32</v>
      </c>
      <c r="F124" s="287"/>
      <c r="G124" s="260"/>
      <c r="H124" s="260"/>
      <c r="I124" s="287">
        <f>E6+G6+E15*6+E24*2+E40+G40+I40+K40+O40+Q40+S40+U40+W40</f>
        <v>0</v>
      </c>
      <c r="J124" s="287"/>
      <c r="K124" s="287">
        <f t="shared" ref="K124:K146" si="14">E124+G124-I124</f>
        <v>32</v>
      </c>
      <c r="L124" s="287"/>
      <c r="M124" s="143">
        <f t="shared" ref="M124:M151" si="15">K124*C124</f>
        <v>544</v>
      </c>
      <c r="N124" s="143">
        <f t="shared" ref="N124:N151" si="16">K124*D124</f>
        <v>1120</v>
      </c>
      <c r="O124" s="282"/>
      <c r="P124" s="282"/>
      <c r="Q124" s="288">
        <f t="shared" ref="Q124:Q146" si="17">O124-K124</f>
        <v>-32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-6</v>
      </c>
      <c r="B125" s="97" t="s">
        <v>8</v>
      </c>
      <c r="C125" s="105">
        <v>17</v>
      </c>
      <c r="D125" s="105">
        <v>35</v>
      </c>
      <c r="E125" s="281">
        <f>'JUEVES 11'!K125</f>
        <v>36</v>
      </c>
      <c r="F125" s="281"/>
      <c r="G125" s="260"/>
      <c r="H125" s="260"/>
      <c r="I125" s="281">
        <f>E7+G7+E16*6+E25*2+E41+G41+I41+K41+O41+Q41+S41+U41+W41</f>
        <v>0</v>
      </c>
      <c r="J125" s="281"/>
      <c r="K125" s="281">
        <f t="shared" si="14"/>
        <v>36</v>
      </c>
      <c r="L125" s="281"/>
      <c r="M125" s="144">
        <f t="shared" si="15"/>
        <v>612</v>
      </c>
      <c r="N125" s="144">
        <f t="shared" si="16"/>
        <v>1260</v>
      </c>
      <c r="O125" s="282"/>
      <c r="P125" s="282"/>
      <c r="Q125" s="283">
        <f t="shared" si="17"/>
        <v>-36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-4</v>
      </c>
      <c r="B126" s="96" t="s">
        <v>6</v>
      </c>
      <c r="C126" s="104">
        <v>37</v>
      </c>
      <c r="D126" s="104">
        <v>70</v>
      </c>
      <c r="E126" s="287">
        <f>'JUEVES 11'!K126</f>
        <v>12</v>
      </c>
      <c r="F126" s="287"/>
      <c r="G126" s="260"/>
      <c r="H126" s="260"/>
      <c r="I126" s="287">
        <f>E8+G8+E17*3++E42+G42+I42+K42+O42+Q42+S42+U42+W42+H73+H79+H85+H91+H97+H103+H109+H115</f>
        <v>0</v>
      </c>
      <c r="J126" s="287"/>
      <c r="K126" s="287">
        <f t="shared" si="14"/>
        <v>12</v>
      </c>
      <c r="L126" s="287"/>
      <c r="M126" s="143">
        <f t="shared" si="15"/>
        <v>444</v>
      </c>
      <c r="N126" s="143">
        <f t="shared" si="16"/>
        <v>840</v>
      </c>
      <c r="O126" s="282"/>
      <c r="P126" s="282"/>
      <c r="Q126" s="288">
        <f t="shared" si="17"/>
        <v>-12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-6.333333333333333</v>
      </c>
      <c r="B127" s="97" t="s">
        <v>5</v>
      </c>
      <c r="C127" s="105">
        <v>35</v>
      </c>
      <c r="D127" s="105">
        <v>60</v>
      </c>
      <c r="E127" s="281">
        <f>'JUEVES 11'!K127</f>
        <v>19</v>
      </c>
      <c r="F127" s="281"/>
      <c r="G127" s="260"/>
      <c r="H127" s="260"/>
      <c r="I127" s="281">
        <f>E9+G9+E18*3+E43+G43+I43+K43+O43+Q43+S43+U43+W43++H75+H81+H87+H93+H99+H105+H111+H117</f>
        <v>0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/>
      <c r="P127" s="282"/>
      <c r="Q127" s="283">
        <f t="shared" si="17"/>
        <v>-19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-3</v>
      </c>
      <c r="B128" s="96" t="s">
        <v>4</v>
      </c>
      <c r="C128" s="104">
        <v>35</v>
      </c>
      <c r="D128" s="104">
        <v>60</v>
      </c>
      <c r="E128" s="287">
        <f>'JUEVES 11'!K128</f>
        <v>9</v>
      </c>
      <c r="F128" s="287"/>
      <c r="G128" s="260"/>
      <c r="H128" s="260"/>
      <c r="I128" s="287">
        <f>E10+G10+E19*3+E44+G44+I44+K44+O44+Q44+S44+U44+W44+H74+H80+H86+H92+H98+H104+H110+H116</f>
        <v>0</v>
      </c>
      <c r="J128" s="287"/>
      <c r="K128" s="287">
        <f t="shared" si="14"/>
        <v>9</v>
      </c>
      <c r="L128" s="287"/>
      <c r="M128" s="143">
        <f t="shared" si="15"/>
        <v>315</v>
      </c>
      <c r="N128" s="143">
        <f t="shared" si="16"/>
        <v>540</v>
      </c>
      <c r="O128" s="282"/>
      <c r="P128" s="282"/>
      <c r="Q128" s="288">
        <f t="shared" si="17"/>
        <v>-9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-15</v>
      </c>
      <c r="B129" s="97" t="s">
        <v>2</v>
      </c>
      <c r="C129" s="105">
        <v>41</v>
      </c>
      <c r="D129" s="105">
        <v>80</v>
      </c>
      <c r="E129" s="281">
        <f>'JUEVES 11'!K129</f>
        <v>45</v>
      </c>
      <c r="F129" s="281"/>
      <c r="G129" s="260"/>
      <c r="H129" s="260"/>
      <c r="I129" s="281">
        <f>E11+G11+E20*3+E45+G45+I45+K45+O45+Q45+S45+U45+W45</f>
        <v>0</v>
      </c>
      <c r="J129" s="281"/>
      <c r="K129" s="281">
        <f t="shared" si="14"/>
        <v>45</v>
      </c>
      <c r="L129" s="281"/>
      <c r="M129" s="144">
        <f t="shared" si="15"/>
        <v>1845</v>
      </c>
      <c r="N129" s="144">
        <f t="shared" si="16"/>
        <v>3600</v>
      </c>
      <c r="O129" s="282"/>
      <c r="P129" s="282"/>
      <c r="Q129" s="283">
        <f t="shared" si="17"/>
        <v>-45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-8</v>
      </c>
      <c r="B130" s="96" t="s">
        <v>3</v>
      </c>
      <c r="C130" s="104">
        <v>41</v>
      </c>
      <c r="D130" s="104">
        <v>80</v>
      </c>
      <c r="E130" s="287">
        <f>'JUEVES 11'!K130</f>
        <v>24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/>
      <c r="P130" s="282"/>
      <c r="Q130" s="288">
        <f t="shared" si="17"/>
        <v>-24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'JUEVES 11'!K131</f>
        <v>86</v>
      </c>
      <c r="F131" s="281"/>
      <c r="G131" s="260"/>
      <c r="H131" s="260"/>
      <c r="I131" s="281">
        <f>O4+E47+G47+I47+K47+O47+Q47+S47+U47+W47</f>
        <v>0</v>
      </c>
      <c r="J131" s="281"/>
      <c r="K131" s="281">
        <f t="shared" si="14"/>
        <v>86</v>
      </c>
      <c r="L131" s="281"/>
      <c r="M131" s="144">
        <f t="shared" si="15"/>
        <v>516</v>
      </c>
      <c r="N131" s="144">
        <f t="shared" si="16"/>
        <v>860</v>
      </c>
      <c r="O131" s="282"/>
      <c r="P131" s="282"/>
      <c r="Q131" s="283">
        <f t="shared" si="17"/>
        <v>-86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'JUEVES 11'!K132</f>
        <v>21</v>
      </c>
      <c r="F132" s="287"/>
      <c r="G132" s="260"/>
      <c r="H132" s="260"/>
      <c r="I132" s="287">
        <f>O5+Q5+E48+G48+I48+K48+O48+Q48+S48+U48+W48</f>
        <v>0</v>
      </c>
      <c r="J132" s="287"/>
      <c r="K132" s="287">
        <f t="shared" si="14"/>
        <v>21</v>
      </c>
      <c r="L132" s="287"/>
      <c r="M132" s="143">
        <f t="shared" si="15"/>
        <v>273</v>
      </c>
      <c r="N132" s="143">
        <f t="shared" si="16"/>
        <v>525</v>
      </c>
      <c r="O132" s="282"/>
      <c r="P132" s="282"/>
      <c r="Q132" s="288">
        <f t="shared" si="17"/>
        <v>-21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'JUEVES 11'!K133</f>
        <v>7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7</v>
      </c>
      <c r="L133" s="281"/>
      <c r="M133" s="144">
        <f t="shared" si="15"/>
        <v>77</v>
      </c>
      <c r="N133" s="144">
        <f t="shared" si="16"/>
        <v>245</v>
      </c>
      <c r="O133" s="282"/>
      <c r="P133" s="282"/>
      <c r="Q133" s="283">
        <f t="shared" si="17"/>
        <v>-7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'JUEVES 11'!K134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/>
      <c r="P134" s="282"/>
      <c r="Q134" s="288">
        <f t="shared" si="17"/>
        <v>-4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'JUEVES 11'!K135</f>
        <v>9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9</v>
      </c>
      <c r="L135" s="281"/>
      <c r="M135" s="144">
        <f t="shared" si="15"/>
        <v>133.20000000000002</v>
      </c>
      <c r="N135" s="144">
        <f t="shared" si="16"/>
        <v>315</v>
      </c>
      <c r="O135" s="282"/>
      <c r="P135" s="282"/>
      <c r="Q135" s="283">
        <f t="shared" si="17"/>
        <v>-9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'JUEVES 11'!K136</f>
        <v>12</v>
      </c>
      <c r="F136" s="287"/>
      <c r="G136" s="260"/>
      <c r="H136" s="260"/>
      <c r="I136" s="287">
        <f>O10+Q10+E52+G52+I52+K52+O52+Q52+S52+U52+W52</f>
        <v>0</v>
      </c>
      <c r="J136" s="287"/>
      <c r="K136" s="287">
        <f t="shared" si="14"/>
        <v>12</v>
      </c>
      <c r="L136" s="287"/>
      <c r="M136" s="143">
        <f t="shared" si="15"/>
        <v>156</v>
      </c>
      <c r="N136" s="143">
        <f t="shared" si="16"/>
        <v>240</v>
      </c>
      <c r="O136" s="282"/>
      <c r="P136" s="282"/>
      <c r="Q136" s="288">
        <f t="shared" si="17"/>
        <v>-12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'JUEVES 11'!K137</f>
        <v>6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6</v>
      </c>
      <c r="L137" s="281"/>
      <c r="M137" s="144">
        <f t="shared" si="15"/>
        <v>66</v>
      </c>
      <c r="N137" s="144">
        <f t="shared" si="16"/>
        <v>120</v>
      </c>
      <c r="O137" s="282"/>
      <c r="P137" s="282"/>
      <c r="Q137" s="283">
        <f t="shared" si="17"/>
        <v>-6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'JUEVES 11'!K138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/>
      <c r="P138" s="282"/>
      <c r="Q138" s="288">
        <f t="shared" si="17"/>
        <v>-3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'JUEVES 11'!K139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/>
      <c r="P139" s="282"/>
      <c r="Q139" s="283">
        <f t="shared" si="17"/>
        <v>-2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'JUEVES 11'!K140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/>
      <c r="P140" s="282"/>
      <c r="Q140" s="288">
        <f t="shared" si="17"/>
        <v>-1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'JUEVES 11'!K141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/>
      <c r="P141" s="282"/>
      <c r="Q141" s="283">
        <f t="shared" si="17"/>
        <v>-3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'JUEVES 11'!K142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/>
      <c r="P142" s="282"/>
      <c r="Q142" s="288">
        <f t="shared" si="17"/>
        <v>-2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'JUEVES 11'!K143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/>
      <c r="P143" s="282"/>
      <c r="Q143" s="283">
        <f t="shared" si="17"/>
        <v>-1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'JUEVES 11'!K144</f>
        <v>3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3</v>
      </c>
      <c r="L144" s="287"/>
      <c r="M144" s="143">
        <f t="shared" si="15"/>
        <v>24</v>
      </c>
      <c r="N144" s="143">
        <f t="shared" si="16"/>
        <v>45</v>
      </c>
      <c r="O144" s="282"/>
      <c r="P144" s="282"/>
      <c r="Q144" s="288">
        <f t="shared" si="17"/>
        <v>-3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'JUEVES 11'!K145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/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'JUEVES 11'!K146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/>
      <c r="P146" s="282"/>
      <c r="Q146" s="288">
        <f t="shared" si="17"/>
        <v>-16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9751.2000000000007</v>
      </c>
      <c r="N152" s="145">
        <f>SUM(N122:N151)</f>
        <v>19005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46185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/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0</v>
      </c>
      <c r="L159" s="214"/>
      <c r="M159" s="119"/>
      <c r="N159" s="115"/>
      <c r="O159" s="262"/>
      <c r="P159" s="263"/>
      <c r="Q159" s="263"/>
      <c r="R159" s="263"/>
      <c r="S159" s="244"/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/>
      <c r="F160" s="256"/>
      <c r="G160" s="257">
        <f>B80</f>
        <v>0</v>
      </c>
      <c r="H160" s="257"/>
      <c r="I160" s="257">
        <f>J66</f>
        <v>0</v>
      </c>
      <c r="J160" s="257"/>
      <c r="K160" s="257">
        <f t="shared" ref="K160:K166" si="18">E160+G160-I160</f>
        <v>0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0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0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'JUEVES 11'!E171</f>
        <v>6262</v>
      </c>
      <c r="F169" s="224"/>
      <c r="G169" s="226" t="s">
        <v>85</v>
      </c>
      <c r="H169" s="226"/>
      <c r="I169" s="213">
        <f>'JUEVES 11'!I171:J171</f>
        <v>470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'JUEVES 11'!I172:J172</f>
        <v>5792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6262</v>
      </c>
      <c r="F171" s="204"/>
      <c r="G171" s="207" t="s">
        <v>85</v>
      </c>
      <c r="H171" s="207"/>
      <c r="I171" s="208">
        <f>I167-S167+I169-Q169</f>
        <v>470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-470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5792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-5792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65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64" priority="10" operator="lessThan">
      <formula>0</formula>
    </cfRule>
  </conditionalFormatting>
  <conditionalFormatting sqref="H71:I75">
    <cfRule type="cellIs" dxfId="63" priority="9" operator="greaterThan">
      <formula>0</formula>
    </cfRule>
  </conditionalFormatting>
  <conditionalFormatting sqref="H77:I81">
    <cfRule type="cellIs" dxfId="62" priority="8" operator="greaterThan">
      <formula>0</formula>
    </cfRule>
  </conditionalFormatting>
  <conditionalFormatting sqref="H83:I87">
    <cfRule type="cellIs" dxfId="61" priority="7" operator="greaterThan">
      <formula>0</formula>
    </cfRule>
  </conditionalFormatting>
  <conditionalFormatting sqref="H89:I93">
    <cfRule type="cellIs" dxfId="60" priority="6" operator="greaterThan">
      <formula>0</formula>
    </cfRule>
  </conditionalFormatting>
  <conditionalFormatting sqref="H95:I99">
    <cfRule type="cellIs" dxfId="59" priority="5" operator="greaterThan">
      <formula>0</formula>
    </cfRule>
  </conditionalFormatting>
  <conditionalFormatting sqref="H101:I105">
    <cfRule type="cellIs" dxfId="58" priority="4" operator="greaterThan">
      <formula>0</formula>
    </cfRule>
  </conditionalFormatting>
  <conditionalFormatting sqref="H107:I111">
    <cfRule type="cellIs" dxfId="57" priority="3" operator="greaterThan">
      <formula>0</formula>
    </cfRule>
  </conditionalFormatting>
  <conditionalFormatting sqref="H113:I117">
    <cfRule type="cellIs" dxfId="56" priority="2" operator="greaterThan">
      <formula>0</formula>
    </cfRule>
  </conditionalFormatting>
  <conditionalFormatting sqref="S171:T172">
    <cfRule type="cellIs" dxfId="55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D416-92AB-4619-97E0-52513A0CDC38}">
  <dimension ref="A1:Z182"/>
  <sheetViews>
    <sheetView tabSelected="1" topLeftCell="B154" zoomScale="85" zoomScaleNormal="85" workbookViewId="0">
      <selection activeCell="S160" sqref="S160:T160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46184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>
        <v>9</v>
      </c>
      <c r="F4" s="161">
        <f>E4*D4</f>
        <v>270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>
        <v>13</v>
      </c>
      <c r="P4" s="45">
        <f>O4*N4</f>
        <v>130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>
        <v>2</v>
      </c>
      <c r="H6" s="41">
        <f t="shared" si="1"/>
        <v>34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>
        <v>1</v>
      </c>
      <c r="P6" s="43">
        <f t="shared" si="2"/>
        <v>35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>
        <v>1</v>
      </c>
      <c r="F7" s="105">
        <f t="shared" si="0"/>
        <v>35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>
        <v>3</v>
      </c>
      <c r="F8" s="104">
        <f t="shared" si="0"/>
        <v>210</v>
      </c>
      <c r="G8" s="149">
        <v>3</v>
      </c>
      <c r="H8" s="41">
        <f t="shared" si="1"/>
        <v>111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>
        <v>2</v>
      </c>
      <c r="F9" s="105">
        <f t="shared" si="0"/>
        <v>120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>
        <v>2</v>
      </c>
      <c r="P9" s="44">
        <f t="shared" si="2"/>
        <v>70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>
        <v>4</v>
      </c>
      <c r="F10" s="104">
        <f t="shared" si="0"/>
        <v>240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>
        <v>1</v>
      </c>
      <c r="P10" s="43">
        <f t="shared" si="2"/>
        <v>20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>
        <v>1</v>
      </c>
      <c r="F13" s="105">
        <f t="shared" si="0"/>
        <v>160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>
        <v>9</v>
      </c>
      <c r="F17" s="104">
        <f t="shared" si="0"/>
        <v>1755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>
        <v>3</v>
      </c>
      <c r="F18" s="105">
        <f t="shared" si="0"/>
        <v>495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>
        <v>1</v>
      </c>
      <c r="F19" s="104">
        <f t="shared" si="0"/>
        <v>165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>
        <v>8</v>
      </c>
      <c r="F20" s="105">
        <f t="shared" si="0"/>
        <v>1800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5505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145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46184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>
        <v>2</v>
      </c>
      <c r="F38" s="16">
        <f>E38*C38</f>
        <v>30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>
        <v>1</v>
      </c>
      <c r="L39" s="16">
        <f t="shared" ref="L39:L65" si="8">K39*C39</f>
        <v>14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/>
      <c r="F40" s="16">
        <f t="shared" si="5"/>
        <v>0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>
        <v>14</v>
      </c>
      <c r="F41" s="16">
        <v>1</v>
      </c>
      <c r="G41" s="25">
        <v>5</v>
      </c>
      <c r="H41" s="16">
        <f t="shared" si="6"/>
        <v>85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>
        <v>5</v>
      </c>
      <c r="H42" s="16">
        <f t="shared" si="6"/>
        <v>185</v>
      </c>
      <c r="I42" s="25">
        <v>3</v>
      </c>
      <c r="J42" s="16">
        <f t="shared" si="7"/>
        <v>111</v>
      </c>
      <c r="K42" s="25"/>
      <c r="L42" s="16">
        <f t="shared" si="8"/>
        <v>0</v>
      </c>
      <c r="M42" s="32"/>
      <c r="N42" s="31"/>
      <c r="O42" s="25">
        <v>4</v>
      </c>
      <c r="P42" s="16">
        <f t="shared" si="9"/>
        <v>148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>
        <v>1</v>
      </c>
      <c r="J44" s="16">
        <f t="shared" si="7"/>
        <v>35</v>
      </c>
      <c r="K44" s="25">
        <v>3</v>
      </c>
      <c r="L44" s="16">
        <f t="shared" si="8"/>
        <v>105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>
        <v>1</v>
      </c>
      <c r="H52" s="16">
        <f t="shared" si="6"/>
        <v>13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>
        <v>1</v>
      </c>
      <c r="J53" s="16">
        <f t="shared" si="7"/>
        <v>11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>
        <v>2</v>
      </c>
      <c r="H61" s="16">
        <f t="shared" si="6"/>
        <v>16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31</v>
      </c>
      <c r="G66" s="66" t="str">
        <f>G36</f>
        <v>NUBIA</v>
      </c>
      <c r="H66" s="13">
        <f>SUM(H38:H65)</f>
        <v>299</v>
      </c>
      <c r="I66" s="66" t="str">
        <f>I36</f>
        <v>MARCE</v>
      </c>
      <c r="J66" s="13">
        <f>SUM(J38:J65)</f>
        <v>157</v>
      </c>
      <c r="K66" s="66" t="str">
        <f>K36</f>
        <v>ISELA</v>
      </c>
      <c r="L66" s="13">
        <f>SUM(L38:L65)</f>
        <v>119</v>
      </c>
      <c r="M66" s="63"/>
      <c r="N66" s="20"/>
      <c r="O66" s="66" t="str">
        <f>O36</f>
        <v>VIKY</v>
      </c>
      <c r="P66" s="13">
        <f>SUM(P38:P65)</f>
        <v>148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46184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>
        <v>13</v>
      </c>
      <c r="I84" s="171"/>
      <c r="J84" s="81">
        <f>H84+I84</f>
        <v>13</v>
      </c>
      <c r="K84" s="308">
        <f>J84*E83</f>
        <v>1560</v>
      </c>
      <c r="L84" s="325"/>
      <c r="M84" s="88"/>
      <c r="N84" s="93"/>
      <c r="O84" s="308">
        <f>H84*H82+I84*I82</f>
        <v>780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780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1560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>
        <v>3</v>
      </c>
      <c r="I89" s="170"/>
      <c r="J89" s="14">
        <f>H89+I89</f>
        <v>3</v>
      </c>
      <c r="K89" s="322">
        <f>J89*E89</f>
        <v>360</v>
      </c>
      <c r="L89" s="323"/>
      <c r="M89" s="87"/>
      <c r="N89" s="92"/>
      <c r="O89" s="322">
        <f>H89*H88+I89*I88</f>
        <v>180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180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360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46184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0</v>
      </c>
      <c r="B122" s="96" t="s">
        <v>10</v>
      </c>
      <c r="C122" s="104">
        <v>15</v>
      </c>
      <c r="D122" s="104">
        <v>30</v>
      </c>
      <c r="E122" s="287">
        <f>'MIERCOLES 10'!K122</f>
        <v>133</v>
      </c>
      <c r="F122" s="287"/>
      <c r="G122" s="260"/>
      <c r="H122" s="260"/>
      <c r="I122" s="287">
        <f>E4+G4+E13*6+E22*2+E38+G38+I38+K38+O38+Q38+S38+U38+W38+J71+J77+J83+J89+J95+J101+J107+J113</f>
        <v>20</v>
      </c>
      <c r="J122" s="287"/>
      <c r="K122" s="287">
        <f>E122+G122-I122</f>
        <v>113</v>
      </c>
      <c r="L122" s="287"/>
      <c r="M122" s="143">
        <f>K122*C122</f>
        <v>1695</v>
      </c>
      <c r="N122" s="143">
        <f>K122*D122</f>
        <v>3390</v>
      </c>
      <c r="O122" s="282">
        <v>113</v>
      </c>
      <c r="P122" s="282"/>
      <c r="Q122" s="288">
        <f>O122-K122</f>
        <v>0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0.16666666666666666</v>
      </c>
      <c r="B123" s="97" t="s">
        <v>9</v>
      </c>
      <c r="C123" s="105">
        <v>14</v>
      </c>
      <c r="D123" s="105">
        <v>30</v>
      </c>
      <c r="E123" s="281">
        <f>'MIERCOLES 10'!K123</f>
        <v>72</v>
      </c>
      <c r="F123" s="281"/>
      <c r="G123" s="260"/>
      <c r="H123" s="260"/>
      <c r="I123" s="281">
        <f>E5+G5+E14*6+E23*2+E39+G39+I39+K39+O39+Q39+S39+U39+W39+J72+J78+J84+J90+J96+J102+J108+J114</f>
        <v>14</v>
      </c>
      <c r="J123" s="281"/>
      <c r="K123" s="281">
        <f>E123+G123-I123</f>
        <v>58</v>
      </c>
      <c r="L123" s="281"/>
      <c r="M123" s="144">
        <f>K123*C123</f>
        <v>812</v>
      </c>
      <c r="N123" s="144">
        <f>K123*D123</f>
        <v>1740</v>
      </c>
      <c r="O123" s="282">
        <v>59</v>
      </c>
      <c r="P123" s="282"/>
      <c r="Q123" s="283">
        <f>O123-K123</f>
        <v>1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0</v>
      </c>
      <c r="B124" s="96" t="s">
        <v>7</v>
      </c>
      <c r="C124" s="104">
        <v>17</v>
      </c>
      <c r="D124" s="104">
        <v>35</v>
      </c>
      <c r="E124" s="287">
        <f>'MIERCOLES 10'!K124</f>
        <v>34</v>
      </c>
      <c r="F124" s="287"/>
      <c r="G124" s="260"/>
      <c r="H124" s="260"/>
      <c r="I124" s="287">
        <f>E6+G6+E15*6+E24*2+E40+G40+I40+K40+O40+Q40+S40+U40+W40</f>
        <v>2</v>
      </c>
      <c r="J124" s="287"/>
      <c r="K124" s="287">
        <f t="shared" ref="K124:K146" si="14">E124+G124-I124</f>
        <v>32</v>
      </c>
      <c r="L124" s="287"/>
      <c r="M124" s="143">
        <f t="shared" ref="M124:M151" si="15">K124*C124</f>
        <v>544</v>
      </c>
      <c r="N124" s="143">
        <f t="shared" ref="N124:N151" si="16">K124*D124</f>
        <v>1120</v>
      </c>
      <c r="O124" s="282">
        <v>32</v>
      </c>
      <c r="P124" s="282"/>
      <c r="Q124" s="288">
        <f t="shared" ref="Q124:Q146" si="17">O124-K124</f>
        <v>0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0</v>
      </c>
      <c r="B125" s="97" t="s">
        <v>8</v>
      </c>
      <c r="C125" s="105">
        <v>17</v>
      </c>
      <c r="D125" s="105">
        <v>35</v>
      </c>
      <c r="E125" s="281">
        <f>'MIERCOLES 10'!K125</f>
        <v>56</v>
      </c>
      <c r="F125" s="281"/>
      <c r="G125" s="260"/>
      <c r="H125" s="260"/>
      <c r="I125" s="281">
        <f>E7+G7+E16*6+E25*2+E41+G41+I41+K41+O41+Q41+S41+U41+W41</f>
        <v>20</v>
      </c>
      <c r="J125" s="281"/>
      <c r="K125" s="281">
        <f t="shared" si="14"/>
        <v>36</v>
      </c>
      <c r="L125" s="281"/>
      <c r="M125" s="144">
        <f t="shared" si="15"/>
        <v>612</v>
      </c>
      <c r="N125" s="144">
        <f t="shared" si="16"/>
        <v>1260</v>
      </c>
      <c r="O125" s="282">
        <v>36</v>
      </c>
      <c r="P125" s="282"/>
      <c r="Q125" s="283">
        <f t="shared" si="17"/>
        <v>0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0</v>
      </c>
      <c r="B126" s="96" t="s">
        <v>6</v>
      </c>
      <c r="C126" s="104">
        <v>37</v>
      </c>
      <c r="D126" s="104">
        <v>70</v>
      </c>
      <c r="E126" s="287">
        <f>'MIERCOLES 10'!K126</f>
        <v>57</v>
      </c>
      <c r="F126" s="287"/>
      <c r="G126" s="260"/>
      <c r="H126" s="260"/>
      <c r="I126" s="287">
        <f>E8+G8+E17*3++E42+G42+I42+K42+O42+Q42+S42+U42+W42+H73+H79+H85+H91+H97+H103+H109+H115</f>
        <v>45</v>
      </c>
      <c r="J126" s="287"/>
      <c r="K126" s="287">
        <f t="shared" si="14"/>
        <v>12</v>
      </c>
      <c r="L126" s="287"/>
      <c r="M126" s="143">
        <f t="shared" si="15"/>
        <v>444</v>
      </c>
      <c r="N126" s="143">
        <f t="shared" si="16"/>
        <v>840</v>
      </c>
      <c r="O126" s="282">
        <v>12</v>
      </c>
      <c r="P126" s="282"/>
      <c r="Q126" s="288">
        <f t="shared" si="17"/>
        <v>0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0</v>
      </c>
      <c r="B127" s="97" t="s">
        <v>5</v>
      </c>
      <c r="C127" s="105">
        <v>35</v>
      </c>
      <c r="D127" s="105">
        <v>60</v>
      </c>
      <c r="E127" s="281">
        <f>'MIERCOLES 10'!K127</f>
        <v>30</v>
      </c>
      <c r="F127" s="281"/>
      <c r="G127" s="260"/>
      <c r="H127" s="260"/>
      <c r="I127" s="281">
        <f>E9+G9+E18*3+E43+G43+I43+K43+O43+Q43+S43+U43+W43++H75+H81+H87+H93+H99+H105+H111+H117</f>
        <v>11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>
        <v>19</v>
      </c>
      <c r="P127" s="282"/>
      <c r="Q127" s="283">
        <f t="shared" si="17"/>
        <v>0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0</v>
      </c>
      <c r="B128" s="96" t="s">
        <v>4</v>
      </c>
      <c r="C128" s="104">
        <v>35</v>
      </c>
      <c r="D128" s="104">
        <v>60</v>
      </c>
      <c r="E128" s="287">
        <f>'MIERCOLES 10'!K128</f>
        <v>20</v>
      </c>
      <c r="F128" s="287"/>
      <c r="G128" s="260"/>
      <c r="H128" s="260"/>
      <c r="I128" s="287">
        <f>E10+G10+E19*3+E44+G44+I44+K44+O44+Q44+S44+U44+W44+H74+H80+H86+H92+H98+H104+H110+H116</f>
        <v>11</v>
      </c>
      <c r="J128" s="287"/>
      <c r="K128" s="287">
        <f t="shared" si="14"/>
        <v>9</v>
      </c>
      <c r="L128" s="287"/>
      <c r="M128" s="143">
        <f t="shared" si="15"/>
        <v>315</v>
      </c>
      <c r="N128" s="143">
        <f t="shared" si="16"/>
        <v>540</v>
      </c>
      <c r="O128" s="282">
        <v>9</v>
      </c>
      <c r="P128" s="282"/>
      <c r="Q128" s="288">
        <f t="shared" si="17"/>
        <v>0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0</v>
      </c>
      <c r="B129" s="97" t="s">
        <v>2</v>
      </c>
      <c r="C129" s="105">
        <v>41</v>
      </c>
      <c r="D129" s="105">
        <v>80</v>
      </c>
      <c r="E129" s="281">
        <f>'MIERCOLES 10'!K129</f>
        <v>69</v>
      </c>
      <c r="F129" s="281"/>
      <c r="G129" s="260"/>
      <c r="H129" s="260"/>
      <c r="I129" s="281">
        <f>E11+G11+E20*3+E45+G45+I45+K45+O45+Q45+S45+U45+W45</f>
        <v>24</v>
      </c>
      <c r="J129" s="281"/>
      <c r="K129" s="281">
        <f t="shared" si="14"/>
        <v>45</v>
      </c>
      <c r="L129" s="281"/>
      <c r="M129" s="144">
        <f t="shared" si="15"/>
        <v>1845</v>
      </c>
      <c r="N129" s="144">
        <f t="shared" si="16"/>
        <v>3600</v>
      </c>
      <c r="O129" s="282">
        <v>45</v>
      </c>
      <c r="P129" s="282"/>
      <c r="Q129" s="283">
        <f t="shared" si="17"/>
        <v>0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0</v>
      </c>
      <c r="B130" s="96" t="s">
        <v>3</v>
      </c>
      <c r="C130" s="104">
        <v>41</v>
      </c>
      <c r="D130" s="104">
        <v>80</v>
      </c>
      <c r="E130" s="287">
        <f>'MIERCOLES 10'!K130</f>
        <v>24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>
        <v>24</v>
      </c>
      <c r="P130" s="282"/>
      <c r="Q130" s="288">
        <f t="shared" si="17"/>
        <v>0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'MIERCOLES 10'!K131</f>
        <v>99</v>
      </c>
      <c r="F131" s="281"/>
      <c r="G131" s="260"/>
      <c r="H131" s="260"/>
      <c r="I131" s="281">
        <f>O4+E47+G47+I47+K47+O47+Q47+S47+U47+W47</f>
        <v>13</v>
      </c>
      <c r="J131" s="281"/>
      <c r="K131" s="281">
        <f t="shared" si="14"/>
        <v>86</v>
      </c>
      <c r="L131" s="281"/>
      <c r="M131" s="144">
        <f t="shared" si="15"/>
        <v>516</v>
      </c>
      <c r="N131" s="144">
        <f t="shared" si="16"/>
        <v>860</v>
      </c>
      <c r="O131" s="282">
        <v>6</v>
      </c>
      <c r="P131" s="282"/>
      <c r="Q131" s="283">
        <f t="shared" si="17"/>
        <v>-80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'MIERCOLES 10'!K132</f>
        <v>7</v>
      </c>
      <c r="F132" s="287"/>
      <c r="G132" s="260">
        <v>14</v>
      </c>
      <c r="H132" s="260"/>
      <c r="I132" s="287">
        <f>O5+Q5+E48+G48+I48+K48+O48+Q48+S48+U48+W48</f>
        <v>0</v>
      </c>
      <c r="J132" s="287"/>
      <c r="K132" s="287">
        <f t="shared" si="14"/>
        <v>21</v>
      </c>
      <c r="L132" s="287"/>
      <c r="M132" s="143">
        <f t="shared" si="15"/>
        <v>273</v>
      </c>
      <c r="N132" s="143">
        <f t="shared" si="16"/>
        <v>525</v>
      </c>
      <c r="O132" s="282">
        <v>21</v>
      </c>
      <c r="P132" s="282"/>
      <c r="Q132" s="288">
        <f t="shared" si="17"/>
        <v>0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'MIERCOLES 10'!K133</f>
        <v>8</v>
      </c>
      <c r="F133" s="281"/>
      <c r="G133" s="260"/>
      <c r="H133" s="260"/>
      <c r="I133" s="281">
        <f>O6+Q6+E49+G49+I49+K49+O49+Q49+S49+U49+W49</f>
        <v>1</v>
      </c>
      <c r="J133" s="281"/>
      <c r="K133" s="281">
        <f t="shared" si="14"/>
        <v>7</v>
      </c>
      <c r="L133" s="281"/>
      <c r="M133" s="144">
        <f t="shared" si="15"/>
        <v>77</v>
      </c>
      <c r="N133" s="144">
        <f t="shared" si="16"/>
        <v>245</v>
      </c>
      <c r="O133" s="282">
        <v>7</v>
      </c>
      <c r="P133" s="282"/>
      <c r="Q133" s="283">
        <f t="shared" si="17"/>
        <v>0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'MIERCOLES 10'!K134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>
        <v>4</v>
      </c>
      <c r="P134" s="282"/>
      <c r="Q134" s="288">
        <f t="shared" si="17"/>
        <v>0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'MIERCOLES 10'!K135</f>
        <v>11</v>
      </c>
      <c r="F135" s="281"/>
      <c r="G135" s="260"/>
      <c r="H135" s="260"/>
      <c r="I135" s="281">
        <f>O9+Q9+E51+G51+I51+K51+O51+Q51+S51+U51+W51</f>
        <v>2</v>
      </c>
      <c r="J135" s="281"/>
      <c r="K135" s="281">
        <f t="shared" si="14"/>
        <v>9</v>
      </c>
      <c r="L135" s="281"/>
      <c r="M135" s="144">
        <f t="shared" si="15"/>
        <v>133.20000000000002</v>
      </c>
      <c r="N135" s="144">
        <f t="shared" si="16"/>
        <v>315</v>
      </c>
      <c r="O135" s="282">
        <v>9</v>
      </c>
      <c r="P135" s="282"/>
      <c r="Q135" s="283">
        <f t="shared" si="17"/>
        <v>0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'MIERCOLES 10'!K136</f>
        <v>14</v>
      </c>
      <c r="F136" s="287"/>
      <c r="G136" s="260"/>
      <c r="H136" s="260"/>
      <c r="I136" s="287">
        <f>O10+Q10+E52+G52+I52+K52+O52+Q52+S52+U52+W52</f>
        <v>2</v>
      </c>
      <c r="J136" s="287"/>
      <c r="K136" s="287">
        <f t="shared" si="14"/>
        <v>12</v>
      </c>
      <c r="L136" s="287"/>
      <c r="M136" s="143">
        <f t="shared" si="15"/>
        <v>156</v>
      </c>
      <c r="N136" s="143">
        <f t="shared" si="16"/>
        <v>240</v>
      </c>
      <c r="O136" s="282">
        <v>12</v>
      </c>
      <c r="P136" s="282"/>
      <c r="Q136" s="288">
        <f t="shared" si="17"/>
        <v>0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'MIERCOLES 10'!K137</f>
        <v>7</v>
      </c>
      <c r="F137" s="281"/>
      <c r="G137" s="260"/>
      <c r="H137" s="260"/>
      <c r="I137" s="281">
        <f>O11+Q11+E53+G53+I53+K53+O53+Q53+S53+U53+W53</f>
        <v>1</v>
      </c>
      <c r="J137" s="281"/>
      <c r="K137" s="281">
        <f t="shared" si="14"/>
        <v>6</v>
      </c>
      <c r="L137" s="281"/>
      <c r="M137" s="144">
        <f t="shared" si="15"/>
        <v>66</v>
      </c>
      <c r="N137" s="144">
        <f t="shared" si="16"/>
        <v>120</v>
      </c>
      <c r="O137" s="282">
        <v>6</v>
      </c>
      <c r="P137" s="282"/>
      <c r="Q137" s="283">
        <f t="shared" si="17"/>
        <v>0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'MIERCOLES 10'!K138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>
        <v>3</v>
      </c>
      <c r="P138" s="282"/>
      <c r="Q138" s="288">
        <f t="shared" si="17"/>
        <v>0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'MIERCOLES 10'!K139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>
        <v>2</v>
      </c>
      <c r="P139" s="282"/>
      <c r="Q139" s="283">
        <f t="shared" si="17"/>
        <v>0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'MIERCOLES 10'!K140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>
        <v>1</v>
      </c>
      <c r="P140" s="282"/>
      <c r="Q140" s="288">
        <f t="shared" si="17"/>
        <v>0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'MIERCOLES 10'!K141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>
        <v>3</v>
      </c>
      <c r="P141" s="282"/>
      <c r="Q141" s="283">
        <f t="shared" si="17"/>
        <v>0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'MIERCOLES 10'!K142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>
        <v>2</v>
      </c>
      <c r="P142" s="282"/>
      <c r="Q142" s="288">
        <f t="shared" si="17"/>
        <v>0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'MIERCOLES 10'!K143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>
        <v>1</v>
      </c>
      <c r="P143" s="282"/>
      <c r="Q143" s="283">
        <f t="shared" si="17"/>
        <v>0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'MIERCOLES 10'!K144</f>
        <v>5</v>
      </c>
      <c r="F144" s="287"/>
      <c r="G144" s="260"/>
      <c r="H144" s="260"/>
      <c r="I144" s="287">
        <f>O21+Q21+E61+G61+I61+K61+O61+Q61+S61+U61+W61</f>
        <v>2</v>
      </c>
      <c r="J144" s="287"/>
      <c r="K144" s="287">
        <f t="shared" si="14"/>
        <v>3</v>
      </c>
      <c r="L144" s="287"/>
      <c r="M144" s="143">
        <f t="shared" si="15"/>
        <v>24</v>
      </c>
      <c r="N144" s="143">
        <f t="shared" si="16"/>
        <v>45</v>
      </c>
      <c r="O144" s="282">
        <v>3</v>
      </c>
      <c r="P144" s="282"/>
      <c r="Q144" s="288">
        <f t="shared" si="17"/>
        <v>0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'MIERCOLES 10'!K145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>
        <v>0</v>
      </c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'MIERCOLES 10'!K146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>
        <v>16</v>
      </c>
      <c r="P146" s="282"/>
      <c r="Q146" s="288">
        <f t="shared" si="17"/>
        <v>0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9751.2000000000007</v>
      </c>
      <c r="N152" s="145">
        <f>SUM(N122:N151)</f>
        <v>19005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46184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>
        <v>650</v>
      </c>
      <c r="F159" s="244"/>
      <c r="G159" s="213">
        <f>B74</f>
        <v>0</v>
      </c>
      <c r="H159" s="213"/>
      <c r="I159" s="213">
        <f>H66</f>
        <v>299</v>
      </c>
      <c r="J159" s="213"/>
      <c r="K159" s="213">
        <f>E159+G159-I159</f>
        <v>351</v>
      </c>
      <c r="L159" s="214"/>
      <c r="M159" s="119"/>
      <c r="N159" s="115"/>
      <c r="O159" s="262" t="s">
        <v>106</v>
      </c>
      <c r="P159" s="263"/>
      <c r="Q159" s="263"/>
      <c r="R159" s="263"/>
      <c r="S159" s="244">
        <v>500</v>
      </c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/>
      <c r="F160" s="256"/>
      <c r="G160" s="257">
        <f>B80</f>
        <v>0</v>
      </c>
      <c r="H160" s="257"/>
      <c r="I160" s="257">
        <f>J66</f>
        <v>157</v>
      </c>
      <c r="J160" s="257"/>
      <c r="K160" s="257">
        <f t="shared" ref="K160:K166" si="18">E160+G160-I160</f>
        <v>-157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>
        <v>300</v>
      </c>
      <c r="F161" s="256"/>
      <c r="G161" s="257">
        <f>B86</f>
        <v>780</v>
      </c>
      <c r="H161" s="257"/>
      <c r="I161" s="257">
        <f>L66</f>
        <v>119</v>
      </c>
      <c r="J161" s="257"/>
      <c r="K161" s="257">
        <f t="shared" si="18"/>
        <v>961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>
        <v>320</v>
      </c>
      <c r="F162" s="256"/>
      <c r="G162" s="257">
        <f>B92</f>
        <v>180</v>
      </c>
      <c r="H162" s="257"/>
      <c r="I162" s="257">
        <f>P66</f>
        <v>148</v>
      </c>
      <c r="J162" s="257"/>
      <c r="K162" s="257">
        <f t="shared" si="18"/>
        <v>352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8148</v>
      </c>
      <c r="F167" s="241"/>
      <c r="G167" s="243" t="s">
        <v>85</v>
      </c>
      <c r="H167" s="243"/>
      <c r="I167" s="244">
        <v>470</v>
      </c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2730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7678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2730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'MIERCOLES 10'!E171</f>
        <v>844</v>
      </c>
      <c r="F169" s="224"/>
      <c r="G169" s="226" t="s">
        <v>85</v>
      </c>
      <c r="H169" s="226"/>
      <c r="I169" s="213">
        <f>'MIERCOLES 10'!I171:J171</f>
        <v>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'MIERCOLES 10'!I172:J172</f>
        <v>844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6262</v>
      </c>
      <c r="F171" s="204"/>
      <c r="G171" s="207" t="s">
        <v>85</v>
      </c>
      <c r="H171" s="207"/>
      <c r="I171" s="208">
        <f>I167-S167+I169-Q169</f>
        <v>470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-470</v>
      </c>
      <c r="T171" s="193"/>
      <c r="W171">
        <f>2844-650-300</f>
        <v>1894</v>
      </c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5792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-5792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54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53" priority="10" operator="lessThan">
      <formula>0</formula>
    </cfRule>
  </conditionalFormatting>
  <conditionalFormatting sqref="H71:I75">
    <cfRule type="cellIs" dxfId="52" priority="9" operator="greaterThan">
      <formula>0</formula>
    </cfRule>
  </conditionalFormatting>
  <conditionalFormatting sqref="H77:I81">
    <cfRule type="cellIs" dxfId="51" priority="8" operator="greaterThan">
      <formula>0</formula>
    </cfRule>
  </conditionalFormatting>
  <conditionalFormatting sqref="H83:I87">
    <cfRule type="cellIs" dxfId="50" priority="7" operator="greaterThan">
      <formula>0</formula>
    </cfRule>
  </conditionalFormatting>
  <conditionalFormatting sqref="H89:I93">
    <cfRule type="cellIs" dxfId="49" priority="6" operator="greaterThan">
      <formula>0</formula>
    </cfRule>
  </conditionalFormatting>
  <conditionalFormatting sqref="H95:I99">
    <cfRule type="cellIs" dxfId="48" priority="5" operator="greaterThan">
      <formula>0</formula>
    </cfRule>
  </conditionalFormatting>
  <conditionalFormatting sqref="H101:I105">
    <cfRule type="cellIs" dxfId="47" priority="4" operator="greaterThan">
      <formula>0</formula>
    </cfRule>
  </conditionalFormatting>
  <conditionalFormatting sqref="H107:I111">
    <cfRule type="cellIs" dxfId="46" priority="3" operator="greaterThan">
      <formula>0</formula>
    </cfRule>
  </conditionalFormatting>
  <conditionalFormatting sqref="H113:I117">
    <cfRule type="cellIs" dxfId="45" priority="2" operator="greaterThan">
      <formula>0</formula>
    </cfRule>
  </conditionalFormatting>
  <conditionalFormatting sqref="S171:T172">
    <cfRule type="cellIs" dxfId="44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6B94-A2D1-4F67-AA37-EE8C9EE0D27C}">
  <dimension ref="A1:Z213"/>
  <sheetViews>
    <sheetView topLeftCell="A151" zoomScale="85" zoomScaleNormal="85" workbookViewId="0">
      <selection activeCell="I167" sqref="I167:J167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46183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>
        <v>17</v>
      </c>
      <c r="P4" s="45">
        <f>O4*N4</f>
        <v>170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>
        <v>1</v>
      </c>
      <c r="P5" s="44">
        <f t="shared" ref="P5:P31" si="2">O5*N5</f>
        <v>25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>
        <v>1</v>
      </c>
      <c r="F7" s="105">
        <f t="shared" si="0"/>
        <v>35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>
        <v>2</v>
      </c>
      <c r="F8" s="104">
        <f t="shared" si="0"/>
        <v>140</v>
      </c>
      <c r="G8" s="149">
        <v>1</v>
      </c>
      <c r="H8" s="41">
        <f t="shared" si="1"/>
        <v>37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>
        <v>3</v>
      </c>
      <c r="P8" s="43">
        <f t="shared" si="2"/>
        <v>30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/>
      <c r="F9" s="105">
        <f t="shared" si="0"/>
        <v>0</v>
      </c>
      <c r="G9" s="149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>
        <v>1</v>
      </c>
      <c r="F10" s="104">
        <f t="shared" si="0"/>
        <v>60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>
        <v>1</v>
      </c>
      <c r="F11" s="105">
        <f t="shared" si="0"/>
        <v>80</v>
      </c>
      <c r="G11" s="149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>
        <v>1</v>
      </c>
      <c r="F12" s="104">
        <f t="shared" si="0"/>
        <v>80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49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49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49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49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>
        <v>7</v>
      </c>
      <c r="F17" s="104">
        <f t="shared" si="0"/>
        <v>1365</v>
      </c>
      <c r="G17" s="149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>
        <v>3</v>
      </c>
      <c r="F18" s="105">
        <f t="shared" si="0"/>
        <v>495</v>
      </c>
      <c r="G18" s="149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>
        <v>1</v>
      </c>
      <c r="F19" s="104">
        <f t="shared" si="0"/>
        <v>165</v>
      </c>
      <c r="G19" s="149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>
        <v>2</v>
      </c>
      <c r="F20" s="105">
        <f t="shared" si="0"/>
        <v>450</v>
      </c>
      <c r="G20" s="149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49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49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49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49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49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49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49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49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49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49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49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3095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37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46183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>
        <v>3</v>
      </c>
      <c r="F40" s="16">
        <f t="shared" si="5"/>
        <v>51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>
        <v>2</v>
      </c>
      <c r="J42" s="16">
        <f t="shared" si="7"/>
        <v>74</v>
      </c>
      <c r="K42" s="25">
        <v>1</v>
      </c>
      <c r="L42" s="16">
        <f t="shared" si="8"/>
        <v>37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>
        <v>1</v>
      </c>
      <c r="J44" s="16">
        <f t="shared" si="7"/>
        <v>35</v>
      </c>
      <c r="K44" s="25">
        <v>2</v>
      </c>
      <c r="L44" s="16">
        <f t="shared" si="8"/>
        <v>70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>
        <v>4</v>
      </c>
      <c r="F47" s="16">
        <f t="shared" si="5"/>
        <v>24</v>
      </c>
      <c r="G47" s="25"/>
      <c r="H47" s="16">
        <f t="shared" si="6"/>
        <v>0</v>
      </c>
      <c r="I47" s="25"/>
      <c r="J47" s="16">
        <f t="shared" si="7"/>
        <v>0</v>
      </c>
      <c r="K47" s="25">
        <v>1</v>
      </c>
      <c r="L47" s="16">
        <f t="shared" si="8"/>
        <v>6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>
        <v>1</v>
      </c>
      <c r="J52" s="16">
        <f t="shared" si="7"/>
        <v>13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76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122</v>
      </c>
      <c r="K66" s="66" t="str">
        <f>K36</f>
        <v>ISELA</v>
      </c>
      <c r="L66" s="13">
        <f>SUM(L38:L65)</f>
        <v>113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46183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>
        <v>2</v>
      </c>
      <c r="I84" s="171"/>
      <c r="J84" s="81">
        <f>H84+I84</f>
        <v>2</v>
      </c>
      <c r="K84" s="308">
        <f>J84*E83</f>
        <v>240</v>
      </c>
      <c r="L84" s="325"/>
      <c r="M84" s="88"/>
      <c r="N84" s="93"/>
      <c r="O84" s="308">
        <f>H84*H82+I84*I82</f>
        <v>120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120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240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46183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0</v>
      </c>
      <c r="B122" s="96" t="s">
        <v>10</v>
      </c>
      <c r="C122" s="104">
        <v>15</v>
      </c>
      <c r="D122" s="104">
        <v>30</v>
      </c>
      <c r="E122" s="287">
        <f>'MARTES 09'!K122</f>
        <v>133</v>
      </c>
      <c r="F122" s="287"/>
      <c r="G122" s="260"/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133</v>
      </c>
      <c r="L122" s="287"/>
      <c r="M122" s="143">
        <f>K122*C122</f>
        <v>1995</v>
      </c>
      <c r="N122" s="143">
        <f>K122*D122</f>
        <v>3990</v>
      </c>
      <c r="O122" s="282">
        <v>133</v>
      </c>
      <c r="P122" s="282"/>
      <c r="Q122" s="288">
        <f>O122-K122</f>
        <v>0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0.16666666666666666</v>
      </c>
      <c r="B123" s="97" t="s">
        <v>9</v>
      </c>
      <c r="C123" s="105">
        <v>14</v>
      </c>
      <c r="D123" s="105">
        <v>30</v>
      </c>
      <c r="E123" s="281">
        <f>'MARTES 09'!K123</f>
        <v>74</v>
      </c>
      <c r="F123" s="281"/>
      <c r="G123" s="260"/>
      <c r="H123" s="260"/>
      <c r="I123" s="281">
        <f>E5+G5+E14*6+E23*2+E39+G39+I39+K39+O39+Q39+S39+U39+W39+J72+J78+J84+J90+J96+J102+J108+J114</f>
        <v>2</v>
      </c>
      <c r="J123" s="281"/>
      <c r="K123" s="281">
        <f>E123+G123-I123</f>
        <v>72</v>
      </c>
      <c r="L123" s="281"/>
      <c r="M123" s="144">
        <f>K123*C123</f>
        <v>1008</v>
      </c>
      <c r="N123" s="144">
        <f>K123*D123</f>
        <v>2160</v>
      </c>
      <c r="O123" s="282">
        <v>73</v>
      </c>
      <c r="P123" s="282"/>
      <c r="Q123" s="283">
        <f>O123-K123</f>
        <v>1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0</v>
      </c>
      <c r="B124" s="96" t="s">
        <v>7</v>
      </c>
      <c r="C124" s="104">
        <v>17</v>
      </c>
      <c r="D124" s="104">
        <v>35</v>
      </c>
      <c r="E124" s="287">
        <f>'MARTES 09'!K124</f>
        <v>37</v>
      </c>
      <c r="F124" s="287"/>
      <c r="G124" s="260"/>
      <c r="H124" s="260"/>
      <c r="I124" s="287">
        <f>E6+G6+E15*6+E24*2+E40+G40+I40+K40+O40+Q40+S40+U40+W40</f>
        <v>3</v>
      </c>
      <c r="J124" s="287"/>
      <c r="K124" s="287">
        <f t="shared" ref="K124:K146" si="14">E124+G124-I124</f>
        <v>34</v>
      </c>
      <c r="L124" s="287"/>
      <c r="M124" s="143">
        <f t="shared" ref="M124:M151" si="15">K124*C124</f>
        <v>578</v>
      </c>
      <c r="N124" s="143">
        <f t="shared" ref="N124:N151" si="16">K124*D124</f>
        <v>1190</v>
      </c>
      <c r="O124" s="282">
        <v>34</v>
      </c>
      <c r="P124" s="282"/>
      <c r="Q124" s="288">
        <f t="shared" ref="Q124:Q146" si="17">O124-K124</f>
        <v>0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0</v>
      </c>
      <c r="B125" s="97" t="s">
        <v>8</v>
      </c>
      <c r="C125" s="105">
        <v>17</v>
      </c>
      <c r="D125" s="105">
        <v>35</v>
      </c>
      <c r="E125" s="281">
        <f>'MARTES 09'!K125</f>
        <v>57</v>
      </c>
      <c r="F125" s="281"/>
      <c r="G125" s="260"/>
      <c r="H125" s="260"/>
      <c r="I125" s="281">
        <f>E7+G7+E16*6+E25*2+E41+G41+I41+K41+O41+Q41+S41+U41+W41</f>
        <v>1</v>
      </c>
      <c r="J125" s="281"/>
      <c r="K125" s="281">
        <f t="shared" si="14"/>
        <v>56</v>
      </c>
      <c r="L125" s="281"/>
      <c r="M125" s="144">
        <f t="shared" si="15"/>
        <v>952</v>
      </c>
      <c r="N125" s="144">
        <f t="shared" si="16"/>
        <v>1960</v>
      </c>
      <c r="O125" s="282">
        <v>56</v>
      </c>
      <c r="P125" s="282"/>
      <c r="Q125" s="283">
        <f t="shared" si="17"/>
        <v>0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0</v>
      </c>
      <c r="B126" s="96" t="s">
        <v>6</v>
      </c>
      <c r="C126" s="104">
        <v>37</v>
      </c>
      <c r="D126" s="104">
        <v>70</v>
      </c>
      <c r="E126" s="287">
        <f>'MARTES 09'!K126</f>
        <v>84</v>
      </c>
      <c r="F126" s="287"/>
      <c r="G126" s="260"/>
      <c r="H126" s="260"/>
      <c r="I126" s="287">
        <f>E8+G8+E17*3++E42+G42+I42+K42+O42+Q42+S42+U42+W42+H73+H79+H85+H91+H97+H103+H109+H115</f>
        <v>27</v>
      </c>
      <c r="J126" s="287"/>
      <c r="K126" s="287">
        <f t="shared" si="14"/>
        <v>57</v>
      </c>
      <c r="L126" s="287"/>
      <c r="M126" s="143">
        <f t="shared" si="15"/>
        <v>2109</v>
      </c>
      <c r="N126" s="143">
        <f t="shared" si="16"/>
        <v>3990</v>
      </c>
      <c r="O126" s="282">
        <v>57</v>
      </c>
      <c r="P126" s="282"/>
      <c r="Q126" s="288">
        <f t="shared" si="17"/>
        <v>0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0</v>
      </c>
      <c r="B127" s="97" t="s">
        <v>5</v>
      </c>
      <c r="C127" s="105">
        <v>35</v>
      </c>
      <c r="D127" s="105">
        <v>60</v>
      </c>
      <c r="E127" s="281">
        <f>'MARTES 09'!K127</f>
        <v>39</v>
      </c>
      <c r="F127" s="281"/>
      <c r="G127" s="260"/>
      <c r="H127" s="260"/>
      <c r="I127" s="281">
        <f>E9+G9+E18*3+E43+G43+I43+K43+O43+Q43+S43+U43+W43++H75+H81+H87+H93+H99+H105+H111+H117</f>
        <v>9</v>
      </c>
      <c r="J127" s="281"/>
      <c r="K127" s="281">
        <f t="shared" si="14"/>
        <v>30</v>
      </c>
      <c r="L127" s="281"/>
      <c r="M127" s="144">
        <f t="shared" si="15"/>
        <v>1050</v>
      </c>
      <c r="N127" s="144">
        <f t="shared" si="16"/>
        <v>1800</v>
      </c>
      <c r="O127" s="282">
        <v>30</v>
      </c>
      <c r="P127" s="282"/>
      <c r="Q127" s="283">
        <f t="shared" si="17"/>
        <v>0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0</v>
      </c>
      <c r="B128" s="96" t="s">
        <v>4</v>
      </c>
      <c r="C128" s="104">
        <v>35</v>
      </c>
      <c r="D128" s="104">
        <v>60</v>
      </c>
      <c r="E128" s="287">
        <f>'MARTES 09'!K128</f>
        <v>27</v>
      </c>
      <c r="F128" s="287"/>
      <c r="G128" s="260"/>
      <c r="H128" s="260"/>
      <c r="I128" s="287">
        <f>E10+G10+E19*3+E44+G44+I44+K44+O44+Q44+S44+U44+W44+H74+H80+H86+H92+H98+H104+H110+H116</f>
        <v>7</v>
      </c>
      <c r="J128" s="287"/>
      <c r="K128" s="287">
        <f t="shared" si="14"/>
        <v>20</v>
      </c>
      <c r="L128" s="287"/>
      <c r="M128" s="143">
        <f t="shared" si="15"/>
        <v>700</v>
      </c>
      <c r="N128" s="143">
        <f t="shared" si="16"/>
        <v>1200</v>
      </c>
      <c r="O128" s="282">
        <v>20</v>
      </c>
      <c r="P128" s="282"/>
      <c r="Q128" s="288">
        <f t="shared" si="17"/>
        <v>0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0</v>
      </c>
      <c r="B129" s="97" t="s">
        <v>2</v>
      </c>
      <c r="C129" s="105">
        <v>41</v>
      </c>
      <c r="D129" s="105">
        <v>80</v>
      </c>
      <c r="E129" s="281">
        <f>'MARTES 09'!K129</f>
        <v>76</v>
      </c>
      <c r="F129" s="281"/>
      <c r="G129" s="260"/>
      <c r="H129" s="260"/>
      <c r="I129" s="281">
        <f>E11+G11+E20*3+E45+G45+I45+K45+O45+Q45+S45+U45+W45</f>
        <v>7</v>
      </c>
      <c r="J129" s="281"/>
      <c r="K129" s="281">
        <f t="shared" si="14"/>
        <v>69</v>
      </c>
      <c r="L129" s="281"/>
      <c r="M129" s="144">
        <f t="shared" si="15"/>
        <v>2829</v>
      </c>
      <c r="N129" s="144">
        <f t="shared" si="16"/>
        <v>5520</v>
      </c>
      <c r="O129" s="282">
        <v>69</v>
      </c>
      <c r="P129" s="282"/>
      <c r="Q129" s="283">
        <f t="shared" si="17"/>
        <v>0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0</v>
      </c>
      <c r="B130" s="96" t="s">
        <v>3</v>
      </c>
      <c r="C130" s="104">
        <v>41</v>
      </c>
      <c r="D130" s="104">
        <v>80</v>
      </c>
      <c r="E130" s="287">
        <f>'MARTES 09'!K130</f>
        <v>25</v>
      </c>
      <c r="F130" s="287"/>
      <c r="G130" s="260"/>
      <c r="H130" s="260"/>
      <c r="I130" s="287">
        <f>E12+G12+E21*3+E46+G46+I46+K46+O46+Q46+S46+U46+W46</f>
        <v>1</v>
      </c>
      <c r="J130" s="287"/>
      <c r="K130" s="287">
        <f t="shared" si="14"/>
        <v>24</v>
      </c>
      <c r="L130" s="287"/>
      <c r="M130" s="143">
        <f t="shared" si="15"/>
        <v>984</v>
      </c>
      <c r="N130" s="143">
        <f t="shared" si="16"/>
        <v>1920</v>
      </c>
      <c r="O130" s="282">
        <v>24</v>
      </c>
      <c r="P130" s="282"/>
      <c r="Q130" s="288">
        <f t="shared" si="17"/>
        <v>0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'MARTES 09'!K131</f>
        <v>41</v>
      </c>
      <c r="F131" s="281"/>
      <c r="G131" s="260">
        <v>80</v>
      </c>
      <c r="H131" s="260"/>
      <c r="I131" s="281">
        <f>O4+E47+G47+I47+K47+O47+Q47+S47+U47+W47</f>
        <v>22</v>
      </c>
      <c r="J131" s="281"/>
      <c r="K131" s="281">
        <f t="shared" si="14"/>
        <v>99</v>
      </c>
      <c r="L131" s="281"/>
      <c r="M131" s="144">
        <f t="shared" si="15"/>
        <v>594</v>
      </c>
      <c r="N131" s="144">
        <f t="shared" si="16"/>
        <v>990</v>
      </c>
      <c r="O131" s="282">
        <v>87</v>
      </c>
      <c r="P131" s="282"/>
      <c r="Q131" s="283">
        <f t="shared" si="17"/>
        <v>-12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'MARTES 09'!K132</f>
        <v>8</v>
      </c>
      <c r="F132" s="287"/>
      <c r="G132" s="260"/>
      <c r="H132" s="260"/>
      <c r="I132" s="287">
        <f>O5+Q5+E48+G48+I48+K48+O48+Q48+S48+U48+W48</f>
        <v>1</v>
      </c>
      <c r="J132" s="287"/>
      <c r="K132" s="287">
        <f t="shared" si="14"/>
        <v>7</v>
      </c>
      <c r="L132" s="287"/>
      <c r="M132" s="143">
        <f t="shared" si="15"/>
        <v>91</v>
      </c>
      <c r="N132" s="143">
        <f t="shared" si="16"/>
        <v>175</v>
      </c>
      <c r="O132" s="282">
        <v>7</v>
      </c>
      <c r="P132" s="282"/>
      <c r="Q132" s="288">
        <f t="shared" si="17"/>
        <v>0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'MARTES 09'!K133</f>
        <v>8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8</v>
      </c>
      <c r="L133" s="281"/>
      <c r="M133" s="144">
        <f t="shared" si="15"/>
        <v>88</v>
      </c>
      <c r="N133" s="144">
        <f t="shared" si="16"/>
        <v>280</v>
      </c>
      <c r="O133" s="282">
        <v>8</v>
      </c>
      <c r="P133" s="282"/>
      <c r="Q133" s="283">
        <f t="shared" si="17"/>
        <v>0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'MARTES 09'!K134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>
        <v>4</v>
      </c>
      <c r="P134" s="282"/>
      <c r="Q134" s="288">
        <f t="shared" si="17"/>
        <v>0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'MARTES 09'!K135</f>
        <v>11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11</v>
      </c>
      <c r="L135" s="281"/>
      <c r="M135" s="144">
        <f t="shared" si="15"/>
        <v>162.80000000000001</v>
      </c>
      <c r="N135" s="144">
        <f t="shared" si="16"/>
        <v>385</v>
      </c>
      <c r="O135" s="282">
        <v>11</v>
      </c>
      <c r="P135" s="282"/>
      <c r="Q135" s="283">
        <f t="shared" si="17"/>
        <v>0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'MARTES 09'!K136</f>
        <v>15</v>
      </c>
      <c r="F136" s="287"/>
      <c r="G136" s="260"/>
      <c r="H136" s="260"/>
      <c r="I136" s="287">
        <f>O10+Q10+E52+G52+I52+K52+O52+Q52+S52+U52+W52</f>
        <v>1</v>
      </c>
      <c r="J136" s="287"/>
      <c r="K136" s="287">
        <f t="shared" si="14"/>
        <v>14</v>
      </c>
      <c r="L136" s="287"/>
      <c r="M136" s="143">
        <f t="shared" si="15"/>
        <v>182</v>
      </c>
      <c r="N136" s="143">
        <f t="shared" si="16"/>
        <v>280</v>
      </c>
      <c r="O136" s="282">
        <v>14</v>
      </c>
      <c r="P136" s="282"/>
      <c r="Q136" s="288">
        <f t="shared" si="17"/>
        <v>0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'MARTES 09'!K137</f>
        <v>7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7</v>
      </c>
      <c r="L137" s="281"/>
      <c r="M137" s="144">
        <f t="shared" si="15"/>
        <v>77</v>
      </c>
      <c r="N137" s="144">
        <f t="shared" si="16"/>
        <v>140</v>
      </c>
      <c r="O137" s="282">
        <v>7</v>
      </c>
      <c r="P137" s="282"/>
      <c r="Q137" s="283">
        <f t="shared" si="17"/>
        <v>0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'MARTES 09'!K138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>
        <v>3</v>
      </c>
      <c r="P138" s="282"/>
      <c r="Q138" s="288">
        <f t="shared" si="17"/>
        <v>0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'MARTES 09'!K139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>
        <v>2</v>
      </c>
      <c r="P139" s="282"/>
      <c r="Q139" s="283">
        <f t="shared" si="17"/>
        <v>0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'MARTES 09'!K140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>
        <v>1</v>
      </c>
      <c r="P140" s="282"/>
      <c r="Q140" s="288">
        <f t="shared" si="17"/>
        <v>0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'MARTES 09'!K141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>
        <v>3</v>
      </c>
      <c r="P141" s="282"/>
      <c r="Q141" s="283">
        <f t="shared" si="17"/>
        <v>0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'MARTES 09'!K142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>
        <v>2</v>
      </c>
      <c r="P142" s="282"/>
      <c r="Q142" s="288">
        <f t="shared" si="17"/>
        <v>0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'MARTES 09'!K143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>
        <v>1</v>
      </c>
      <c r="P143" s="282"/>
      <c r="Q143" s="283">
        <f t="shared" si="17"/>
        <v>0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'MARTES 09'!K144</f>
        <v>5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5</v>
      </c>
      <c r="L144" s="287"/>
      <c r="M144" s="143">
        <f t="shared" si="15"/>
        <v>40</v>
      </c>
      <c r="N144" s="143">
        <f t="shared" si="16"/>
        <v>75</v>
      </c>
      <c r="O144" s="282">
        <v>5</v>
      </c>
      <c r="P144" s="282"/>
      <c r="Q144" s="288">
        <f t="shared" si="17"/>
        <v>0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'MARTES 09'!K145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>
        <v>0</v>
      </c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'MARTES 09'!K146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>
        <v>16</v>
      </c>
      <c r="P146" s="282"/>
      <c r="Q146" s="288">
        <f t="shared" si="17"/>
        <v>0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14029.8</v>
      </c>
      <c r="N152" s="145">
        <f>SUM(N122:N151)</f>
        <v>27160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46183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>
        <v>650</v>
      </c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650</v>
      </c>
      <c r="L159" s="214"/>
      <c r="M159" s="119"/>
      <c r="N159" s="115"/>
      <c r="O159" s="262" t="s">
        <v>103</v>
      </c>
      <c r="P159" s="263"/>
      <c r="Q159" s="263"/>
      <c r="R159" s="263"/>
      <c r="S159" s="244">
        <v>97</v>
      </c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>
        <v>400</v>
      </c>
      <c r="F160" s="256"/>
      <c r="G160" s="257">
        <f>B80</f>
        <v>0</v>
      </c>
      <c r="H160" s="257"/>
      <c r="I160" s="257">
        <f>J66</f>
        <v>122</v>
      </c>
      <c r="J160" s="257"/>
      <c r="K160" s="257">
        <f t="shared" ref="K160:K166" si="18">E160+G160-I160</f>
        <v>278</v>
      </c>
      <c r="L160" s="258"/>
      <c r="M160" s="119"/>
      <c r="N160" s="115"/>
      <c r="O160" s="259" t="s">
        <v>104</v>
      </c>
      <c r="P160" s="260"/>
      <c r="Q160" s="260"/>
      <c r="R160" s="260"/>
      <c r="S160" s="256">
        <v>210</v>
      </c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>
        <v>250</v>
      </c>
      <c r="F161" s="256"/>
      <c r="G161" s="257">
        <f>B86</f>
        <v>120</v>
      </c>
      <c r="H161" s="257"/>
      <c r="I161" s="257">
        <f>L66</f>
        <v>113</v>
      </c>
      <c r="J161" s="257"/>
      <c r="K161" s="257">
        <f t="shared" si="18"/>
        <v>257</v>
      </c>
      <c r="L161" s="258"/>
      <c r="M161" s="119"/>
      <c r="N161" s="115"/>
      <c r="O161" s="259" t="s">
        <v>105</v>
      </c>
      <c r="P161" s="260"/>
      <c r="Q161" s="260"/>
      <c r="R161" s="260"/>
      <c r="S161" s="256">
        <v>475</v>
      </c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3570</v>
      </c>
      <c r="F167" s="241"/>
      <c r="G167" s="243" t="s">
        <v>85</v>
      </c>
      <c r="H167" s="243"/>
      <c r="I167" s="244">
        <v>0</v>
      </c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2202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3570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2202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'MARTES 09'!E171</f>
        <v>1476</v>
      </c>
      <c r="F169" s="224"/>
      <c r="G169" s="226" t="s">
        <v>85</v>
      </c>
      <c r="H169" s="226"/>
      <c r="I169" s="213">
        <f>'MARTES 09'!I171:J171</f>
        <v>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>
        <v>0</v>
      </c>
      <c r="R169" s="212"/>
      <c r="S169" s="213">
        <f>Q169+Q170</f>
        <v>2000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'MARTES 09'!I172:J172</f>
        <v>1476</v>
      </c>
      <c r="J170" s="219"/>
      <c r="K170" s="228"/>
      <c r="L170" s="229"/>
      <c r="M170" s="138"/>
      <c r="N170" s="139"/>
      <c r="O170" s="220" t="s">
        <v>86</v>
      </c>
      <c r="P170" s="220"/>
      <c r="Q170" s="221">
        <v>2000</v>
      </c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844</v>
      </c>
      <c r="F171" s="204"/>
      <c r="G171" s="207" t="s">
        <v>85</v>
      </c>
      <c r="H171" s="207"/>
      <c r="I171" s="208">
        <f>I167-S167+I169-Q169</f>
        <v>0</v>
      </c>
      <c r="J171" s="209"/>
      <c r="K171" s="188" t="s">
        <v>96</v>
      </c>
      <c r="L171" s="189"/>
      <c r="M171" s="172"/>
      <c r="N171" s="172"/>
      <c r="O171" s="210">
        <v>0</v>
      </c>
      <c r="P171" s="211"/>
      <c r="Q171" s="188" t="s">
        <v>91</v>
      </c>
      <c r="R171" s="189"/>
      <c r="S171" s="192">
        <f>O171-I171</f>
        <v>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844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-844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213" spans="24:24" x14ac:dyDescent="0.25">
      <c r="X213">
        <v>0</v>
      </c>
    </row>
  </sheetData>
  <mergeCells count="591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8:V178"/>
    <mergeCell ref="B179:V179"/>
    <mergeCell ref="B180:V180"/>
    <mergeCell ref="B181:V181"/>
    <mergeCell ref="B174:S174"/>
    <mergeCell ref="T174:V174"/>
    <mergeCell ref="B175:V175"/>
    <mergeCell ref="B176:V176"/>
    <mergeCell ref="B177:V177"/>
  </mergeCells>
  <conditionalFormatting sqref="Q122:R122 Q124:R124 Q126:R126 Q128:R128 Q130:R130 Q132:R132 Q134:R134 Q136:R136 Q138:R138 Q140:R140 Q142:R142 Q144:R144 Q146:R146 Q148:R148 Q150:R150">
    <cfRule type="cellIs" dxfId="43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42" priority="10" operator="lessThan">
      <formula>0</formula>
    </cfRule>
  </conditionalFormatting>
  <conditionalFormatting sqref="H71:I75">
    <cfRule type="cellIs" dxfId="41" priority="9" operator="greaterThan">
      <formula>0</formula>
    </cfRule>
  </conditionalFormatting>
  <conditionalFormatting sqref="H77:I81">
    <cfRule type="cellIs" dxfId="40" priority="8" operator="greaterThan">
      <formula>0</formula>
    </cfRule>
  </conditionalFormatting>
  <conditionalFormatting sqref="H83:I87">
    <cfRule type="cellIs" dxfId="39" priority="7" operator="greaterThan">
      <formula>0</formula>
    </cfRule>
  </conditionalFormatting>
  <conditionalFormatting sqref="H89:I93">
    <cfRule type="cellIs" dxfId="38" priority="6" operator="greaterThan">
      <formula>0</formula>
    </cfRule>
  </conditionalFormatting>
  <conditionalFormatting sqref="H95:I99">
    <cfRule type="cellIs" dxfId="37" priority="5" operator="greaterThan">
      <formula>0</formula>
    </cfRule>
  </conditionalFormatting>
  <conditionalFormatting sqref="H101:I105">
    <cfRule type="cellIs" dxfId="36" priority="4" operator="greaterThan">
      <formula>0</formula>
    </cfRule>
  </conditionalFormatting>
  <conditionalFormatting sqref="H107:I111">
    <cfRule type="cellIs" dxfId="35" priority="3" operator="greaterThan">
      <formula>0</formula>
    </cfRule>
  </conditionalFormatting>
  <conditionalFormatting sqref="H113:I117">
    <cfRule type="cellIs" dxfId="34" priority="2" operator="greaterThan">
      <formula>0</formula>
    </cfRule>
  </conditionalFormatting>
  <conditionalFormatting sqref="S171:T172">
    <cfRule type="cellIs" dxfId="33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C8E1-CEB2-41E3-A1D6-343390E013F1}">
  <dimension ref="A1:Z182"/>
  <sheetViews>
    <sheetView topLeftCell="A145" zoomScale="85" zoomScaleNormal="85" workbookViewId="0">
      <selection activeCell="Q131" sqref="Q131:R131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46182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>
        <v>4</v>
      </c>
      <c r="P4" s="45">
        <f>O4*N4</f>
        <v>40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>
        <v>1</v>
      </c>
      <c r="P5" s="44">
        <f t="shared" ref="P5:P31" si="2">O5*N5</f>
        <v>25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/>
      <c r="F6" s="104">
        <f t="shared" si="0"/>
        <v>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/>
      <c r="F7" s="105">
        <f t="shared" si="0"/>
        <v>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>
        <v>2</v>
      </c>
      <c r="F8" s="104">
        <f t="shared" si="0"/>
        <v>140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>
        <v>2</v>
      </c>
      <c r="P8" s="43">
        <f t="shared" si="2"/>
        <v>20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>
        <v>1</v>
      </c>
      <c r="F9" s="105">
        <f t="shared" si="0"/>
        <v>60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>
        <v>2</v>
      </c>
      <c r="F10" s="104">
        <f t="shared" si="0"/>
        <v>120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>
        <v>1</v>
      </c>
      <c r="F12" s="104">
        <f t="shared" si="0"/>
        <v>80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>
        <v>7</v>
      </c>
      <c r="F17" s="104">
        <f t="shared" si="0"/>
        <v>1365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>
        <v>1</v>
      </c>
      <c r="P17" s="44">
        <f t="shared" si="2"/>
        <v>45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>
        <v>5</v>
      </c>
      <c r="F18" s="105">
        <f t="shared" si="0"/>
        <v>825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>
        <v>2</v>
      </c>
      <c r="F19" s="104">
        <f t="shared" si="0"/>
        <v>330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3050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46182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>
        <v>9</v>
      </c>
      <c r="F40" s="16">
        <f t="shared" si="5"/>
        <v>153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/>
      <c r="J42" s="16">
        <f t="shared" si="7"/>
        <v>0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>
        <v>3</v>
      </c>
      <c r="J44" s="16">
        <f t="shared" si="7"/>
        <v>105</v>
      </c>
      <c r="K44" s="25">
        <v>3</v>
      </c>
      <c r="L44" s="16">
        <f t="shared" si="8"/>
        <v>105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>
        <v>2</v>
      </c>
      <c r="L47" s="16">
        <f t="shared" si="8"/>
        <v>12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>
        <v>1</v>
      </c>
      <c r="L61" s="16">
        <f t="shared" si="8"/>
        <v>8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154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105</v>
      </c>
      <c r="K66" s="66" t="str">
        <f>K36</f>
        <v>ISELA</v>
      </c>
      <c r="L66" s="13">
        <f>SUM(L38:L65)</f>
        <v>125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46182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>
        <v>3</v>
      </c>
      <c r="I84" s="171"/>
      <c r="J84" s="81">
        <f>H84+I84</f>
        <v>3</v>
      </c>
      <c r="K84" s="308">
        <f>J84*E83</f>
        <v>360</v>
      </c>
      <c r="L84" s="325"/>
      <c r="M84" s="88"/>
      <c r="N84" s="93"/>
      <c r="O84" s="308">
        <f>H84*H82+I84*I82</f>
        <v>180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180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360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46182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0</v>
      </c>
      <c r="B122" s="96" t="s">
        <v>10</v>
      </c>
      <c r="C122" s="104">
        <v>15</v>
      </c>
      <c r="D122" s="104">
        <v>30</v>
      </c>
      <c r="E122" s="287">
        <f>'LUNES 08'!K122</f>
        <v>13</v>
      </c>
      <c r="F122" s="287"/>
      <c r="G122" s="260">
        <v>120</v>
      </c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133</v>
      </c>
      <c r="L122" s="287"/>
      <c r="M122" s="143">
        <f>K122*C122</f>
        <v>1995</v>
      </c>
      <c r="N122" s="143">
        <f>K122*D122</f>
        <v>3990</v>
      </c>
      <c r="O122" s="282">
        <v>133</v>
      </c>
      <c r="P122" s="282"/>
      <c r="Q122" s="288">
        <f>O122-K122</f>
        <v>0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-0.16666666666666666</v>
      </c>
      <c r="B123" s="97" t="s">
        <v>9</v>
      </c>
      <c r="C123" s="105">
        <v>14</v>
      </c>
      <c r="D123" s="105">
        <v>30</v>
      </c>
      <c r="E123" s="281">
        <f>'LUNES 08'!K123</f>
        <v>37</v>
      </c>
      <c r="F123" s="281"/>
      <c r="G123" s="260">
        <v>40</v>
      </c>
      <c r="H123" s="260"/>
      <c r="I123" s="281">
        <f>E5+G5+E14*6+E23*2+E39+G39+I39+K39+O39+Q39+S39+U39+W39+J72+J78+J84+J90+J96+J102+J108+J114</f>
        <v>3</v>
      </c>
      <c r="J123" s="281"/>
      <c r="K123" s="281">
        <f>E123+G123-I123</f>
        <v>74</v>
      </c>
      <c r="L123" s="281"/>
      <c r="M123" s="144">
        <f>K123*C123</f>
        <v>1036</v>
      </c>
      <c r="N123" s="144">
        <f>K123*D123</f>
        <v>2220</v>
      </c>
      <c r="O123" s="282">
        <v>73</v>
      </c>
      <c r="P123" s="282"/>
      <c r="Q123" s="283">
        <f>O123-K123</f>
        <v>-1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0</v>
      </c>
      <c r="B124" s="96" t="s">
        <v>7</v>
      </c>
      <c r="C124" s="104">
        <v>17</v>
      </c>
      <c r="D124" s="104">
        <v>35</v>
      </c>
      <c r="E124" s="287">
        <f>'LUNES 08'!K124</f>
        <v>22</v>
      </c>
      <c r="F124" s="287"/>
      <c r="G124" s="260">
        <v>24</v>
      </c>
      <c r="H124" s="260"/>
      <c r="I124" s="287">
        <f>E6+G6+E15*6+E24*2+E40+G40+I40+K40+O40+Q40+S40+U40+W40</f>
        <v>9</v>
      </c>
      <c r="J124" s="287"/>
      <c r="K124" s="287">
        <f t="shared" ref="K124:K146" si="14">E124+G124-I124</f>
        <v>37</v>
      </c>
      <c r="L124" s="287"/>
      <c r="M124" s="143">
        <f t="shared" ref="M124:M151" si="15">K124*C124</f>
        <v>629</v>
      </c>
      <c r="N124" s="143">
        <f t="shared" ref="N124:N151" si="16">K124*D124</f>
        <v>1295</v>
      </c>
      <c r="O124" s="282">
        <v>37</v>
      </c>
      <c r="P124" s="282"/>
      <c r="Q124" s="288">
        <f t="shared" ref="Q124:Q146" si="17">O124-K124</f>
        <v>0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0</v>
      </c>
      <c r="B125" s="97" t="s">
        <v>8</v>
      </c>
      <c r="C125" s="105">
        <v>17</v>
      </c>
      <c r="D125" s="105">
        <v>35</v>
      </c>
      <c r="E125" s="281">
        <f>'LUNES 08'!K125</f>
        <v>37</v>
      </c>
      <c r="F125" s="281"/>
      <c r="G125" s="260">
        <v>20</v>
      </c>
      <c r="H125" s="260"/>
      <c r="I125" s="281">
        <f>E7+G7+E16*6+E25*2+E41+G41+I41+K41+O41+Q41+S41+U41+W41</f>
        <v>0</v>
      </c>
      <c r="J125" s="281"/>
      <c r="K125" s="281">
        <f t="shared" si="14"/>
        <v>57</v>
      </c>
      <c r="L125" s="281"/>
      <c r="M125" s="144">
        <f t="shared" si="15"/>
        <v>969</v>
      </c>
      <c r="N125" s="144">
        <f t="shared" si="16"/>
        <v>1995</v>
      </c>
      <c r="O125" s="282">
        <v>57</v>
      </c>
      <c r="P125" s="282"/>
      <c r="Q125" s="283">
        <f t="shared" si="17"/>
        <v>0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0</v>
      </c>
      <c r="B126" s="96" t="s">
        <v>6</v>
      </c>
      <c r="C126" s="104">
        <v>37</v>
      </c>
      <c r="D126" s="104">
        <v>70</v>
      </c>
      <c r="E126" s="287">
        <f>'LUNES 08'!K126</f>
        <v>23</v>
      </c>
      <c r="F126" s="287"/>
      <c r="G126" s="260">
        <v>84</v>
      </c>
      <c r="H126" s="260"/>
      <c r="I126" s="287">
        <f>E8+G8+E17*3++E42+G42+I42+K42+O42+Q42+S42+U42+W42+H73+H79+H85+H91+H97+H103+H109+H115</f>
        <v>23</v>
      </c>
      <c r="J126" s="287"/>
      <c r="K126" s="287">
        <f t="shared" si="14"/>
        <v>84</v>
      </c>
      <c r="L126" s="287"/>
      <c r="M126" s="143">
        <f t="shared" si="15"/>
        <v>3108</v>
      </c>
      <c r="N126" s="143">
        <f t="shared" si="16"/>
        <v>5880</v>
      </c>
      <c r="O126" s="282">
        <v>84</v>
      </c>
      <c r="P126" s="282"/>
      <c r="Q126" s="288">
        <f t="shared" si="17"/>
        <v>0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0</v>
      </c>
      <c r="B127" s="97" t="s">
        <v>5</v>
      </c>
      <c r="C127" s="105">
        <v>35</v>
      </c>
      <c r="D127" s="105">
        <v>60</v>
      </c>
      <c r="E127" s="281">
        <f>'LUNES 08'!K127</f>
        <v>19</v>
      </c>
      <c r="F127" s="281"/>
      <c r="G127" s="260">
        <v>36</v>
      </c>
      <c r="H127" s="260"/>
      <c r="I127" s="281">
        <f>E9+G9+E18*3+E43+G43+I43+K43+O43+Q43+S43+U43+W43++H75+H81+H87+H93+H99+H105+H111+H117</f>
        <v>16</v>
      </c>
      <c r="J127" s="281"/>
      <c r="K127" s="281">
        <f t="shared" si="14"/>
        <v>39</v>
      </c>
      <c r="L127" s="281"/>
      <c r="M127" s="144">
        <f t="shared" si="15"/>
        <v>1365</v>
      </c>
      <c r="N127" s="144">
        <f t="shared" si="16"/>
        <v>2340</v>
      </c>
      <c r="O127" s="282">
        <v>39</v>
      </c>
      <c r="P127" s="282"/>
      <c r="Q127" s="283">
        <f t="shared" si="17"/>
        <v>0</v>
      </c>
      <c r="R127" s="283"/>
      <c r="S127" s="284"/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0</v>
      </c>
      <c r="B128" s="96" t="s">
        <v>4</v>
      </c>
      <c r="C128" s="104">
        <v>35</v>
      </c>
      <c r="D128" s="104">
        <v>60</v>
      </c>
      <c r="E128" s="287">
        <f>'LUNES 08'!K128</f>
        <v>17</v>
      </c>
      <c r="F128" s="287"/>
      <c r="G128" s="260">
        <v>24</v>
      </c>
      <c r="H128" s="260"/>
      <c r="I128" s="287">
        <f>E10+G10+E19*3+E44+G44+I44+K44+O44+Q44+S44+U44+W44+H74+H80+H86+H92+H98+H104+H110+H116</f>
        <v>14</v>
      </c>
      <c r="J128" s="287"/>
      <c r="K128" s="287">
        <f t="shared" si="14"/>
        <v>27</v>
      </c>
      <c r="L128" s="287"/>
      <c r="M128" s="143">
        <f t="shared" si="15"/>
        <v>945</v>
      </c>
      <c r="N128" s="143">
        <f t="shared" si="16"/>
        <v>1620</v>
      </c>
      <c r="O128" s="282">
        <v>27</v>
      </c>
      <c r="P128" s="282"/>
      <c r="Q128" s="288">
        <f t="shared" si="17"/>
        <v>0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0</v>
      </c>
      <c r="B129" s="97" t="s">
        <v>2</v>
      </c>
      <c r="C129" s="105">
        <v>41</v>
      </c>
      <c r="D129" s="105">
        <v>80</v>
      </c>
      <c r="E129" s="281">
        <f>'LUNES 08'!K129</f>
        <v>40</v>
      </c>
      <c r="F129" s="281"/>
      <c r="G129" s="260">
        <v>36</v>
      </c>
      <c r="H129" s="260"/>
      <c r="I129" s="281">
        <f>E11+G11+E20*3+E45+G45+I45+K45+O45+Q45+S45+U45+W45</f>
        <v>0</v>
      </c>
      <c r="J129" s="281"/>
      <c r="K129" s="281">
        <f t="shared" si="14"/>
        <v>76</v>
      </c>
      <c r="L129" s="281"/>
      <c r="M129" s="144">
        <f t="shared" si="15"/>
        <v>3116</v>
      </c>
      <c r="N129" s="144">
        <f t="shared" si="16"/>
        <v>6080</v>
      </c>
      <c r="O129" s="282">
        <v>76</v>
      </c>
      <c r="P129" s="282"/>
      <c r="Q129" s="283">
        <f t="shared" si="17"/>
        <v>0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0</v>
      </c>
      <c r="B130" s="96" t="s">
        <v>3</v>
      </c>
      <c r="C130" s="104">
        <v>41</v>
      </c>
      <c r="D130" s="104">
        <v>80</v>
      </c>
      <c r="E130" s="287">
        <f>'LUNES 08'!K130</f>
        <v>14</v>
      </c>
      <c r="F130" s="287"/>
      <c r="G130" s="260">
        <v>12</v>
      </c>
      <c r="H130" s="260"/>
      <c r="I130" s="287">
        <f>E12+G12+E21*3+E46+G46+I46+K46+O46+Q46+S46+U46+W46</f>
        <v>1</v>
      </c>
      <c r="J130" s="287"/>
      <c r="K130" s="287">
        <f t="shared" si="14"/>
        <v>25</v>
      </c>
      <c r="L130" s="287"/>
      <c r="M130" s="143">
        <f t="shared" si="15"/>
        <v>1025</v>
      </c>
      <c r="N130" s="143">
        <f t="shared" si="16"/>
        <v>2000</v>
      </c>
      <c r="O130" s="282">
        <v>25</v>
      </c>
      <c r="P130" s="282"/>
      <c r="Q130" s="288">
        <f t="shared" si="17"/>
        <v>0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'LUNES 08'!K131</f>
        <v>47</v>
      </c>
      <c r="F131" s="281"/>
      <c r="G131" s="260"/>
      <c r="H131" s="260"/>
      <c r="I131" s="281">
        <f>O4+E47+G47+I47+K47+O47+Q47+S47+U47+W47</f>
        <v>6</v>
      </c>
      <c r="J131" s="281"/>
      <c r="K131" s="281">
        <f t="shared" si="14"/>
        <v>41</v>
      </c>
      <c r="L131" s="281"/>
      <c r="M131" s="144">
        <f t="shared" si="15"/>
        <v>246</v>
      </c>
      <c r="N131" s="144">
        <f t="shared" si="16"/>
        <v>410</v>
      </c>
      <c r="O131" s="282">
        <v>8</v>
      </c>
      <c r="P131" s="282"/>
      <c r="Q131" s="283">
        <f t="shared" si="17"/>
        <v>-33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'LUNES 08'!K132</f>
        <v>9</v>
      </c>
      <c r="F132" s="287"/>
      <c r="G132" s="260"/>
      <c r="H132" s="260"/>
      <c r="I132" s="287">
        <f>O5+Q5+E48+G48+I48+K48+O48+Q48+S48+U48+W48</f>
        <v>1</v>
      </c>
      <c r="J132" s="287"/>
      <c r="K132" s="287">
        <f t="shared" si="14"/>
        <v>8</v>
      </c>
      <c r="L132" s="287"/>
      <c r="M132" s="143">
        <f t="shared" si="15"/>
        <v>104</v>
      </c>
      <c r="N132" s="143">
        <f t="shared" si="16"/>
        <v>200</v>
      </c>
      <c r="O132" s="282">
        <v>8</v>
      </c>
      <c r="P132" s="282"/>
      <c r="Q132" s="288">
        <f t="shared" si="17"/>
        <v>0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'LUNES 08'!K133</f>
        <v>8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8</v>
      </c>
      <c r="L133" s="281"/>
      <c r="M133" s="144">
        <f t="shared" si="15"/>
        <v>88</v>
      </c>
      <c r="N133" s="144">
        <f t="shared" si="16"/>
        <v>280</v>
      </c>
      <c r="O133" s="282">
        <v>8</v>
      </c>
      <c r="P133" s="282"/>
      <c r="Q133" s="283">
        <f t="shared" si="17"/>
        <v>0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'LUNES 08'!K134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>
        <v>4</v>
      </c>
      <c r="P134" s="282"/>
      <c r="Q134" s="288">
        <f t="shared" si="17"/>
        <v>0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'LUNES 08'!K135</f>
        <v>11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11</v>
      </c>
      <c r="L135" s="281"/>
      <c r="M135" s="144">
        <f t="shared" si="15"/>
        <v>162.80000000000001</v>
      </c>
      <c r="N135" s="144">
        <f t="shared" si="16"/>
        <v>385</v>
      </c>
      <c r="O135" s="282">
        <v>11</v>
      </c>
      <c r="P135" s="282"/>
      <c r="Q135" s="283">
        <f t="shared" si="17"/>
        <v>0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'LUNES 08'!K136</f>
        <v>3</v>
      </c>
      <c r="F136" s="287"/>
      <c r="G136" s="260">
        <v>12</v>
      </c>
      <c r="H136" s="260"/>
      <c r="I136" s="287">
        <f>O10+Q10+E52+G52+I52+K52+O52+Q52+S52+U52+W52</f>
        <v>0</v>
      </c>
      <c r="J136" s="287"/>
      <c r="K136" s="287">
        <f t="shared" si="14"/>
        <v>15</v>
      </c>
      <c r="L136" s="287"/>
      <c r="M136" s="143">
        <f t="shared" si="15"/>
        <v>195</v>
      </c>
      <c r="N136" s="143">
        <f t="shared" si="16"/>
        <v>300</v>
      </c>
      <c r="O136" s="282">
        <v>15</v>
      </c>
      <c r="P136" s="282"/>
      <c r="Q136" s="288">
        <f t="shared" si="17"/>
        <v>0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'LUNES 08'!K137</f>
        <v>7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7</v>
      </c>
      <c r="L137" s="281"/>
      <c r="M137" s="144">
        <f t="shared" si="15"/>
        <v>77</v>
      </c>
      <c r="N137" s="144">
        <f t="shared" si="16"/>
        <v>140</v>
      </c>
      <c r="O137" s="282">
        <v>7</v>
      </c>
      <c r="P137" s="282"/>
      <c r="Q137" s="283">
        <f t="shared" si="17"/>
        <v>0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'LUNES 08'!K138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>
        <v>3</v>
      </c>
      <c r="P138" s="282"/>
      <c r="Q138" s="288">
        <f t="shared" si="17"/>
        <v>0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'LUNES 08'!K139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>
        <v>2</v>
      </c>
      <c r="P139" s="282"/>
      <c r="Q139" s="283">
        <f t="shared" si="17"/>
        <v>0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'LUNES 08'!K140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>
        <v>1</v>
      </c>
      <c r="P140" s="282"/>
      <c r="Q140" s="288">
        <f t="shared" si="17"/>
        <v>0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'LUNES 08'!K141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>
        <v>3</v>
      </c>
      <c r="P141" s="282"/>
      <c r="Q141" s="283">
        <f t="shared" si="17"/>
        <v>0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'LUNES 08'!K142</f>
        <v>2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>
        <v>2</v>
      </c>
      <c r="P142" s="282"/>
      <c r="Q142" s="288">
        <f t="shared" si="17"/>
        <v>0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'LUNES 08'!K143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>
        <v>1</v>
      </c>
      <c r="P143" s="282"/>
      <c r="Q143" s="283">
        <f t="shared" si="17"/>
        <v>0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'LUNES 08'!K144</f>
        <v>6</v>
      </c>
      <c r="F144" s="287"/>
      <c r="G144" s="260"/>
      <c r="H144" s="260"/>
      <c r="I144" s="287">
        <f>O21+Q21+E61+G61+I61+K61+O61+Q61+S61+U61+W61</f>
        <v>1</v>
      </c>
      <c r="J144" s="287"/>
      <c r="K144" s="287">
        <f t="shared" si="14"/>
        <v>5</v>
      </c>
      <c r="L144" s="287"/>
      <c r="M144" s="143">
        <f t="shared" si="15"/>
        <v>40</v>
      </c>
      <c r="N144" s="143">
        <f t="shared" si="16"/>
        <v>75</v>
      </c>
      <c r="O144" s="282">
        <v>5</v>
      </c>
      <c r="P144" s="282"/>
      <c r="Q144" s="288">
        <f t="shared" si="17"/>
        <v>0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'LUNES 08'!K145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>
        <v>0</v>
      </c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'LUNES 08'!K146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>
        <v>16</v>
      </c>
      <c r="P146" s="282"/>
      <c r="Q146" s="288">
        <f t="shared" si="17"/>
        <v>0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15690.8</v>
      </c>
      <c r="N152" s="145">
        <f>SUM(N122:N151)</f>
        <v>30315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46182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>
        <v>650</v>
      </c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650</v>
      </c>
      <c r="L159" s="214"/>
      <c r="M159" s="119"/>
      <c r="N159" s="115"/>
      <c r="O159" s="262" t="s">
        <v>102</v>
      </c>
      <c r="P159" s="263"/>
      <c r="Q159" s="263"/>
      <c r="R159" s="263"/>
      <c r="S159" s="244">
        <v>200</v>
      </c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>
        <v>400</v>
      </c>
      <c r="F160" s="256"/>
      <c r="G160" s="257">
        <f>B80</f>
        <v>0</v>
      </c>
      <c r="H160" s="257"/>
      <c r="I160" s="257">
        <f>J66</f>
        <v>105</v>
      </c>
      <c r="J160" s="257"/>
      <c r="K160" s="257">
        <f t="shared" ref="K160:K166" si="18">E160+G160-I160</f>
        <v>295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>
        <v>250</v>
      </c>
      <c r="F161" s="256"/>
      <c r="G161" s="257">
        <f>B86</f>
        <v>180</v>
      </c>
      <c r="H161" s="257"/>
      <c r="I161" s="257">
        <f>L66</f>
        <v>125</v>
      </c>
      <c r="J161" s="257"/>
      <c r="K161" s="257">
        <f t="shared" si="18"/>
        <v>305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3640</v>
      </c>
      <c r="F167" s="241"/>
      <c r="G167" s="243" t="s">
        <v>85</v>
      </c>
      <c r="H167" s="243"/>
      <c r="I167" s="244">
        <v>994</v>
      </c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1680</v>
      </c>
      <c r="P167" s="247"/>
      <c r="Q167" s="230" t="s">
        <v>85</v>
      </c>
      <c r="R167" s="230"/>
      <c r="S167" s="212"/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2646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1680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'LUNES 08'!E171</f>
        <v>1510</v>
      </c>
      <c r="F169" s="224"/>
      <c r="G169" s="226" t="s">
        <v>85</v>
      </c>
      <c r="H169" s="226"/>
      <c r="I169" s="213">
        <f>'LUNES 08'!I171:J171</f>
        <v>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>
        <v>994</v>
      </c>
      <c r="R169" s="212"/>
      <c r="S169" s="213">
        <f>Q169+Q170</f>
        <v>1994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'LUNES 08'!I172:J172</f>
        <v>1510</v>
      </c>
      <c r="J170" s="219"/>
      <c r="K170" s="228"/>
      <c r="L170" s="229"/>
      <c r="M170" s="138"/>
      <c r="N170" s="139"/>
      <c r="O170" s="220" t="s">
        <v>86</v>
      </c>
      <c r="P170" s="220"/>
      <c r="Q170" s="221">
        <v>1000</v>
      </c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1476</v>
      </c>
      <c r="F171" s="204"/>
      <c r="G171" s="207" t="s">
        <v>85</v>
      </c>
      <c r="H171" s="207"/>
      <c r="I171" s="208">
        <f>I167-S167+I169-Q169</f>
        <v>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1476</v>
      </c>
      <c r="J172" s="196"/>
      <c r="K172" s="190"/>
      <c r="L172" s="191"/>
      <c r="M172" s="173"/>
      <c r="N172" s="173"/>
      <c r="O172" s="197"/>
      <c r="P172" s="198"/>
      <c r="Q172" s="190"/>
      <c r="R172" s="191"/>
      <c r="S172" s="199">
        <f>O172-I172</f>
        <v>-1476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v>240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32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31" priority="10" operator="lessThan">
      <formula>0</formula>
    </cfRule>
  </conditionalFormatting>
  <conditionalFormatting sqref="H71:I75">
    <cfRule type="cellIs" dxfId="30" priority="9" operator="greaterThan">
      <formula>0</formula>
    </cfRule>
  </conditionalFormatting>
  <conditionalFormatting sqref="H77:I81">
    <cfRule type="cellIs" dxfId="29" priority="8" operator="greaterThan">
      <formula>0</formula>
    </cfRule>
  </conditionalFormatting>
  <conditionalFormatting sqref="H83:I87">
    <cfRule type="cellIs" dxfId="28" priority="7" operator="greaterThan">
      <formula>0</formula>
    </cfRule>
  </conditionalFormatting>
  <conditionalFormatting sqref="H89:I93">
    <cfRule type="cellIs" dxfId="27" priority="6" operator="greaterThan">
      <formula>0</formula>
    </cfRule>
  </conditionalFormatting>
  <conditionalFormatting sqref="H95:I99">
    <cfRule type="cellIs" dxfId="26" priority="5" operator="greaterThan">
      <formula>0</formula>
    </cfRule>
  </conditionalFormatting>
  <conditionalFormatting sqref="H101:I105">
    <cfRule type="cellIs" dxfId="25" priority="4" operator="greaterThan">
      <formula>0</formula>
    </cfRule>
  </conditionalFormatting>
  <conditionalFormatting sqref="H107:I111">
    <cfRule type="cellIs" dxfId="24" priority="3" operator="greaterThan">
      <formula>0</formula>
    </cfRule>
  </conditionalFormatting>
  <conditionalFormatting sqref="H113:I117">
    <cfRule type="cellIs" dxfId="23" priority="2" operator="greaterThan">
      <formula>0</formula>
    </cfRule>
  </conditionalFormatting>
  <conditionalFormatting sqref="S171:T172">
    <cfRule type="cellIs" dxfId="22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C976-3404-4E48-8F9F-51F0E7C39368}">
  <dimension ref="A1:Z182"/>
  <sheetViews>
    <sheetView topLeftCell="B157" zoomScale="85" zoomScaleNormal="85" workbookViewId="0">
      <selection activeCell="Q171" sqref="Q171:R172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46181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>
        <v>1</v>
      </c>
      <c r="F4" s="161">
        <f>E4*D4</f>
        <v>30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>
        <v>2</v>
      </c>
      <c r="P4" s="45">
        <f>O4*N4</f>
        <v>20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>
        <v>6</v>
      </c>
      <c r="P5" s="44">
        <f t="shared" ref="P5:P31" si="2">O5*N5</f>
        <v>150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>
        <v>3</v>
      </c>
      <c r="F6" s="104">
        <f t="shared" si="0"/>
        <v>105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>
        <v>6</v>
      </c>
      <c r="F7" s="105">
        <f t="shared" si="0"/>
        <v>210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/>
      <c r="P7" s="44">
        <f t="shared" si="2"/>
        <v>0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>
        <v>2</v>
      </c>
      <c r="F8" s="104">
        <f t="shared" si="0"/>
        <v>140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/>
      <c r="P8" s="43">
        <f t="shared" si="2"/>
        <v>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>
        <v>2</v>
      </c>
      <c r="F9" s="105">
        <f t="shared" si="0"/>
        <v>120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>
        <v>1</v>
      </c>
      <c r="F10" s="104">
        <f t="shared" si="0"/>
        <v>60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/>
      <c r="F11" s="105">
        <f t="shared" si="0"/>
        <v>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>
        <v>2</v>
      </c>
      <c r="F12" s="104">
        <f t="shared" si="0"/>
        <v>160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>
        <v>1</v>
      </c>
      <c r="F13" s="105">
        <f t="shared" si="0"/>
        <v>160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>
        <v>1</v>
      </c>
      <c r="F15" s="104">
        <f t="shared" si="0"/>
        <v>180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>
        <v>1</v>
      </c>
      <c r="P16" s="43">
        <f t="shared" si="2"/>
        <v>50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>
        <v>1</v>
      </c>
      <c r="F18" s="105">
        <f t="shared" si="0"/>
        <v>165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>
        <v>2</v>
      </c>
      <c r="F21" s="104">
        <f t="shared" si="0"/>
        <v>450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2000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46181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>
        <v>6</v>
      </c>
      <c r="F40" s="16">
        <f t="shared" si="5"/>
        <v>102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>
        <v>2</v>
      </c>
      <c r="J42" s="16">
        <f t="shared" si="7"/>
        <v>74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/>
      <c r="F44" s="16">
        <f t="shared" si="5"/>
        <v>0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/>
      <c r="H52" s="16">
        <f t="shared" si="6"/>
        <v>0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103</v>
      </c>
      <c r="G66" s="66" t="str">
        <f>G36</f>
        <v>NUBIA</v>
      </c>
      <c r="H66" s="13">
        <f>SUM(H38:H65)</f>
        <v>0</v>
      </c>
      <c r="I66" s="66" t="str">
        <f>I36</f>
        <v>MARCE</v>
      </c>
      <c r="J66" s="13">
        <f>SUM(J38:J65)</f>
        <v>74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46181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46181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0.16666666666666666</v>
      </c>
      <c r="B122" s="96" t="s">
        <v>10</v>
      </c>
      <c r="C122" s="104">
        <v>15</v>
      </c>
      <c r="D122" s="104">
        <v>30</v>
      </c>
      <c r="E122" s="287">
        <f>'DOMINGO 07'!K122</f>
        <v>20</v>
      </c>
      <c r="F122" s="287"/>
      <c r="G122" s="260"/>
      <c r="H122" s="260"/>
      <c r="I122" s="287">
        <f>E4+G4+E13*6+E22*2+E38+G38+I38+K38+O38+Q38+S38+U38+W38+J71+J77+J83+J89+J95+J101+J107+J113</f>
        <v>7</v>
      </c>
      <c r="J122" s="287"/>
      <c r="K122" s="287">
        <f>E122+G122-I122</f>
        <v>13</v>
      </c>
      <c r="L122" s="287"/>
      <c r="M122" s="143">
        <f>K122*C122</f>
        <v>195</v>
      </c>
      <c r="N122" s="143">
        <f>K122*D122</f>
        <v>390</v>
      </c>
      <c r="O122" s="282">
        <v>14</v>
      </c>
      <c r="P122" s="282"/>
      <c r="Q122" s="288">
        <f>O122-K122</f>
        <v>1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-0.16666666666666666</v>
      </c>
      <c r="B123" s="97" t="s">
        <v>9</v>
      </c>
      <c r="C123" s="105">
        <v>14</v>
      </c>
      <c r="D123" s="105">
        <v>30</v>
      </c>
      <c r="E123" s="281">
        <f>'DOMINGO 07'!K123</f>
        <v>37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37</v>
      </c>
      <c r="L123" s="281"/>
      <c r="M123" s="144">
        <f>K123*C123</f>
        <v>518</v>
      </c>
      <c r="N123" s="144">
        <f>K123*D123</f>
        <v>1110</v>
      </c>
      <c r="O123" s="282">
        <v>36</v>
      </c>
      <c r="P123" s="282"/>
      <c r="Q123" s="283">
        <f>O123-K123</f>
        <v>-1</v>
      </c>
      <c r="R123" s="283"/>
      <c r="S123" s="284" t="s">
        <v>101</v>
      </c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0.16666666666666666</v>
      </c>
      <c r="B124" s="96" t="s">
        <v>7</v>
      </c>
      <c r="C124" s="104">
        <v>17</v>
      </c>
      <c r="D124" s="104">
        <v>35</v>
      </c>
      <c r="E124" s="287">
        <f>'DOMINGO 07'!K124</f>
        <v>37</v>
      </c>
      <c r="F124" s="287"/>
      <c r="G124" s="260"/>
      <c r="H124" s="260"/>
      <c r="I124" s="287">
        <f>E6+G6+E15*6+E24*2+E40+G40+I40+K40+O40+Q40+S40+U40+W40</f>
        <v>15</v>
      </c>
      <c r="J124" s="287"/>
      <c r="K124" s="287">
        <f t="shared" ref="K124:K146" si="14">E124+G124-I124</f>
        <v>22</v>
      </c>
      <c r="L124" s="287"/>
      <c r="M124" s="143">
        <f t="shared" ref="M124:M151" si="15">K124*C124</f>
        <v>374</v>
      </c>
      <c r="N124" s="143">
        <f t="shared" ref="N124:N151" si="16">K124*D124</f>
        <v>770</v>
      </c>
      <c r="O124" s="282">
        <v>23</v>
      </c>
      <c r="P124" s="282"/>
      <c r="Q124" s="288">
        <f t="shared" ref="Q124:Q146" si="17">O124-K124</f>
        <v>1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0</v>
      </c>
      <c r="B125" s="97" t="s">
        <v>8</v>
      </c>
      <c r="C125" s="105">
        <v>17</v>
      </c>
      <c r="D125" s="105">
        <v>35</v>
      </c>
      <c r="E125" s="281">
        <f>'DOMINGO 07'!K125</f>
        <v>43</v>
      </c>
      <c r="F125" s="281"/>
      <c r="G125" s="260"/>
      <c r="H125" s="260"/>
      <c r="I125" s="281">
        <f>E7+G7+E16*6+E25*2+E41+G41+I41+K41+O41+Q41+S41+U41+W41</f>
        <v>6</v>
      </c>
      <c r="J125" s="281"/>
      <c r="K125" s="281">
        <f t="shared" si="14"/>
        <v>37</v>
      </c>
      <c r="L125" s="281"/>
      <c r="M125" s="144">
        <f t="shared" si="15"/>
        <v>629</v>
      </c>
      <c r="N125" s="144">
        <f t="shared" si="16"/>
        <v>1295</v>
      </c>
      <c r="O125" s="282">
        <v>37</v>
      </c>
      <c r="P125" s="282"/>
      <c r="Q125" s="283">
        <f t="shared" si="17"/>
        <v>0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0</v>
      </c>
      <c r="B126" s="96" t="s">
        <v>6</v>
      </c>
      <c r="C126" s="104">
        <v>37</v>
      </c>
      <c r="D126" s="104">
        <v>70</v>
      </c>
      <c r="E126" s="287">
        <f>'DOMINGO 07'!K126</f>
        <v>27</v>
      </c>
      <c r="F126" s="287"/>
      <c r="G126" s="260"/>
      <c r="H126" s="260"/>
      <c r="I126" s="287">
        <f>E8+G8+E17*3++E42+G42+I42+K42+O42+Q42+S42+U42+W42+H73+H79+H85+H91+H97+H103+H109+H115</f>
        <v>4</v>
      </c>
      <c r="J126" s="287"/>
      <c r="K126" s="287">
        <f t="shared" si="14"/>
        <v>23</v>
      </c>
      <c r="L126" s="287"/>
      <c r="M126" s="143">
        <f t="shared" si="15"/>
        <v>851</v>
      </c>
      <c r="N126" s="143">
        <f t="shared" si="16"/>
        <v>1610</v>
      </c>
      <c r="O126" s="282">
        <v>23</v>
      </c>
      <c r="P126" s="282"/>
      <c r="Q126" s="288">
        <f t="shared" si="17"/>
        <v>0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-0.33333333333333331</v>
      </c>
      <c r="B127" s="97" t="s">
        <v>5</v>
      </c>
      <c r="C127" s="105">
        <v>35</v>
      </c>
      <c r="D127" s="105">
        <v>60</v>
      </c>
      <c r="E127" s="281">
        <f>'DOMINGO 07'!K127</f>
        <v>24</v>
      </c>
      <c r="F127" s="281"/>
      <c r="G127" s="260"/>
      <c r="H127" s="260"/>
      <c r="I127" s="281">
        <f>E9+G9+E18*3+E43+G43+I43+K43+O43+Q43+S43+U43+W43++H75+H81+H87+H93+H99+H105+H111+H117</f>
        <v>5</v>
      </c>
      <c r="J127" s="281"/>
      <c r="K127" s="281">
        <f t="shared" si="14"/>
        <v>19</v>
      </c>
      <c r="L127" s="281"/>
      <c r="M127" s="144">
        <f t="shared" si="15"/>
        <v>665</v>
      </c>
      <c r="N127" s="144">
        <f t="shared" si="16"/>
        <v>1140</v>
      </c>
      <c r="O127" s="282">
        <v>18</v>
      </c>
      <c r="P127" s="282"/>
      <c r="Q127" s="283">
        <f t="shared" si="17"/>
        <v>-1</v>
      </c>
      <c r="R127" s="283"/>
      <c r="S127" s="284" t="s">
        <v>98</v>
      </c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0</v>
      </c>
      <c r="B128" s="96" t="s">
        <v>4</v>
      </c>
      <c r="C128" s="104">
        <v>35</v>
      </c>
      <c r="D128" s="104">
        <v>60</v>
      </c>
      <c r="E128" s="287">
        <f>'DOMINGO 07'!K128</f>
        <v>18</v>
      </c>
      <c r="F128" s="287"/>
      <c r="G128" s="260"/>
      <c r="H128" s="260"/>
      <c r="I128" s="287">
        <f>E10+G10+E19*3+E44+G44+I44+K44+O44+Q44+S44+U44+W44+H74+H80+H86+H92+H98+H104+H110+H116</f>
        <v>1</v>
      </c>
      <c r="J128" s="287"/>
      <c r="K128" s="287">
        <f t="shared" si="14"/>
        <v>17</v>
      </c>
      <c r="L128" s="287"/>
      <c r="M128" s="143">
        <f t="shared" si="15"/>
        <v>595</v>
      </c>
      <c r="N128" s="143">
        <f t="shared" si="16"/>
        <v>1020</v>
      </c>
      <c r="O128" s="282">
        <v>17</v>
      </c>
      <c r="P128" s="282"/>
      <c r="Q128" s="288">
        <f t="shared" si="17"/>
        <v>0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0</v>
      </c>
      <c r="B129" s="97" t="s">
        <v>2</v>
      </c>
      <c r="C129" s="105">
        <v>41</v>
      </c>
      <c r="D129" s="105">
        <v>80</v>
      </c>
      <c r="E129" s="281">
        <f>'DOMINGO 07'!K129</f>
        <v>40</v>
      </c>
      <c r="F129" s="281"/>
      <c r="G129" s="260"/>
      <c r="H129" s="260"/>
      <c r="I129" s="281">
        <f>E11+G11+E20*3+E45+G45+I45+K45+O45+Q45+S45+U45+W45</f>
        <v>0</v>
      </c>
      <c r="J129" s="281"/>
      <c r="K129" s="281">
        <f t="shared" si="14"/>
        <v>40</v>
      </c>
      <c r="L129" s="281"/>
      <c r="M129" s="144">
        <f t="shared" si="15"/>
        <v>1640</v>
      </c>
      <c r="N129" s="144">
        <f t="shared" si="16"/>
        <v>3200</v>
      </c>
      <c r="O129" s="282">
        <v>40</v>
      </c>
      <c r="P129" s="282"/>
      <c r="Q129" s="283">
        <f t="shared" si="17"/>
        <v>0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0</v>
      </c>
      <c r="B130" s="96" t="s">
        <v>3</v>
      </c>
      <c r="C130" s="104">
        <v>41</v>
      </c>
      <c r="D130" s="104">
        <v>80</v>
      </c>
      <c r="E130" s="287">
        <f>'DOMINGO 07'!K130</f>
        <v>22</v>
      </c>
      <c r="F130" s="287"/>
      <c r="G130" s="260"/>
      <c r="H130" s="260"/>
      <c r="I130" s="287">
        <f>E12+G12+E21*3+E46+G46+I46+K46+O46+Q46+S46+U46+W46</f>
        <v>8</v>
      </c>
      <c r="J130" s="287"/>
      <c r="K130" s="287">
        <f t="shared" si="14"/>
        <v>14</v>
      </c>
      <c r="L130" s="287"/>
      <c r="M130" s="143">
        <f t="shared" si="15"/>
        <v>574</v>
      </c>
      <c r="N130" s="143">
        <f t="shared" si="16"/>
        <v>1120</v>
      </c>
      <c r="O130" s="282">
        <v>14</v>
      </c>
      <c r="P130" s="282"/>
      <c r="Q130" s="288">
        <f t="shared" si="17"/>
        <v>0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f>'DOMINGO 07'!K131</f>
        <v>49</v>
      </c>
      <c r="F131" s="281"/>
      <c r="G131" s="260"/>
      <c r="H131" s="260"/>
      <c r="I131" s="281">
        <f>O4+E47+G47+I47+K47+O47+Q47+S47+U47+W47</f>
        <v>2</v>
      </c>
      <c r="J131" s="281"/>
      <c r="K131" s="281">
        <f t="shared" si="14"/>
        <v>47</v>
      </c>
      <c r="L131" s="281"/>
      <c r="M131" s="144">
        <f t="shared" si="15"/>
        <v>282</v>
      </c>
      <c r="N131" s="144">
        <f t="shared" si="16"/>
        <v>470</v>
      </c>
      <c r="O131" s="282">
        <v>17</v>
      </c>
      <c r="P131" s="282"/>
      <c r="Q131" s="283">
        <f t="shared" si="17"/>
        <v>-30</v>
      </c>
      <c r="R131" s="283"/>
      <c r="S131" s="284">
        <v>0</v>
      </c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f>'DOMINGO 07'!K132</f>
        <v>15</v>
      </c>
      <c r="F132" s="287"/>
      <c r="G132" s="260"/>
      <c r="H132" s="260"/>
      <c r="I132" s="287">
        <f>O5+Q5+E48+G48+I48+K48+O48+Q48+S48+U48+W48</f>
        <v>6</v>
      </c>
      <c r="J132" s="287"/>
      <c r="K132" s="287">
        <f t="shared" si="14"/>
        <v>9</v>
      </c>
      <c r="L132" s="287"/>
      <c r="M132" s="143">
        <f t="shared" si="15"/>
        <v>117</v>
      </c>
      <c r="N132" s="143">
        <f t="shared" si="16"/>
        <v>225</v>
      </c>
      <c r="O132" s="282">
        <v>9</v>
      </c>
      <c r="P132" s="282"/>
      <c r="Q132" s="288">
        <f t="shared" si="17"/>
        <v>0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f>'DOMINGO 07'!K133</f>
        <v>8</v>
      </c>
      <c r="F133" s="281"/>
      <c r="G133" s="260"/>
      <c r="H133" s="260"/>
      <c r="I133" s="281">
        <f>O6+Q6+E49+G49+I49+K49+O49+Q49+S49+U49+W49</f>
        <v>0</v>
      </c>
      <c r="J133" s="281"/>
      <c r="K133" s="281">
        <f t="shared" si="14"/>
        <v>8</v>
      </c>
      <c r="L133" s="281"/>
      <c r="M133" s="144">
        <f t="shared" si="15"/>
        <v>88</v>
      </c>
      <c r="N133" s="144">
        <f t="shared" si="16"/>
        <v>280</v>
      </c>
      <c r="O133" s="282">
        <v>8</v>
      </c>
      <c r="P133" s="282"/>
      <c r="Q133" s="283">
        <f t="shared" si="17"/>
        <v>0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f>'DOMINGO 07'!K134</f>
        <v>4</v>
      </c>
      <c r="F134" s="287"/>
      <c r="G134" s="260"/>
      <c r="H134" s="260"/>
      <c r="I134" s="287">
        <f>O7+Q7+E50+G50+I50+K50+O50+Q50+S50+U50+W50</f>
        <v>0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>
        <v>4</v>
      </c>
      <c r="P134" s="282"/>
      <c r="Q134" s="288">
        <f t="shared" si="17"/>
        <v>0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f>'DOMINGO 07'!K135</f>
        <v>11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11</v>
      </c>
      <c r="L135" s="281"/>
      <c r="M135" s="144">
        <f t="shared" si="15"/>
        <v>162.80000000000001</v>
      </c>
      <c r="N135" s="144">
        <f t="shared" si="16"/>
        <v>385</v>
      </c>
      <c r="O135" s="282">
        <v>11</v>
      </c>
      <c r="P135" s="282"/>
      <c r="Q135" s="283">
        <f t="shared" si="17"/>
        <v>0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f>'DOMINGO 07'!K136</f>
        <v>3</v>
      </c>
      <c r="F136" s="287"/>
      <c r="G136" s="260"/>
      <c r="H136" s="260"/>
      <c r="I136" s="287">
        <f>O10+Q10+E52+G52+I52+K52+O52+Q52+S52+U52+W52</f>
        <v>0</v>
      </c>
      <c r="J136" s="287"/>
      <c r="K136" s="287">
        <f t="shared" si="14"/>
        <v>3</v>
      </c>
      <c r="L136" s="287"/>
      <c r="M136" s="143">
        <f t="shared" si="15"/>
        <v>39</v>
      </c>
      <c r="N136" s="143">
        <f t="shared" si="16"/>
        <v>60</v>
      </c>
      <c r="O136" s="282">
        <v>3</v>
      </c>
      <c r="P136" s="282"/>
      <c r="Q136" s="288">
        <f t="shared" si="17"/>
        <v>0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f>'DOMINGO 07'!K137</f>
        <v>7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7</v>
      </c>
      <c r="L137" s="281"/>
      <c r="M137" s="144">
        <f t="shared" si="15"/>
        <v>77</v>
      </c>
      <c r="N137" s="144">
        <f t="shared" si="16"/>
        <v>140</v>
      </c>
      <c r="O137" s="282">
        <v>7</v>
      </c>
      <c r="P137" s="282"/>
      <c r="Q137" s="283">
        <f t="shared" si="17"/>
        <v>0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f>'DOMINGO 07'!K138</f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>
        <v>3</v>
      </c>
      <c r="P138" s="282"/>
      <c r="Q138" s="288">
        <f t="shared" si="17"/>
        <v>0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f>'DOMINGO 07'!K139</f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>
        <v>2</v>
      </c>
      <c r="P139" s="282"/>
      <c r="Q139" s="283">
        <f t="shared" si="17"/>
        <v>0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f>'DOMINGO 07'!K140</f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>
        <v>1</v>
      </c>
      <c r="P140" s="282"/>
      <c r="Q140" s="288">
        <f t="shared" si="17"/>
        <v>0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f>'DOMINGO 07'!K141</f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>
        <v>3</v>
      </c>
      <c r="P141" s="282"/>
      <c r="Q141" s="283">
        <f t="shared" si="17"/>
        <v>0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f>'DOMINGO 07'!K142</f>
        <v>3</v>
      </c>
      <c r="F142" s="287"/>
      <c r="G142" s="260"/>
      <c r="H142" s="260"/>
      <c r="I142" s="287">
        <f>O16+Q16+E58+G58+I58+K58+O58+Q58+S58+U58+W58</f>
        <v>1</v>
      </c>
      <c r="J142" s="287"/>
      <c r="K142" s="287">
        <f t="shared" si="14"/>
        <v>2</v>
      </c>
      <c r="L142" s="287"/>
      <c r="M142" s="143">
        <f t="shared" si="15"/>
        <v>54</v>
      </c>
      <c r="N142" s="143">
        <f t="shared" si="16"/>
        <v>90</v>
      </c>
      <c r="O142" s="282">
        <v>2</v>
      </c>
      <c r="P142" s="282"/>
      <c r="Q142" s="288">
        <f t="shared" si="17"/>
        <v>0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f>'DOMINGO 07'!K143</f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>
        <v>1</v>
      </c>
      <c r="P143" s="282"/>
      <c r="Q143" s="283">
        <f t="shared" si="17"/>
        <v>0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f>'DOMINGO 07'!K144</f>
        <v>6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6</v>
      </c>
      <c r="L144" s="287"/>
      <c r="M144" s="143">
        <f t="shared" si="15"/>
        <v>48</v>
      </c>
      <c r="N144" s="143">
        <f t="shared" si="16"/>
        <v>90</v>
      </c>
      <c r="O144" s="282">
        <v>6</v>
      </c>
      <c r="P144" s="282"/>
      <c r="Q144" s="288">
        <f t="shared" si="17"/>
        <v>0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f>'DOMINGO 07'!K145</f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>
        <v>0</v>
      </c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f>'DOMINGO 07'!K146</f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>
        <v>16</v>
      </c>
      <c r="P146" s="282"/>
      <c r="Q146" s="288">
        <f t="shared" si="17"/>
        <v>0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7444.8</v>
      </c>
      <c r="N152" s="145">
        <f>SUM(N122:N151)</f>
        <v>14410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46181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>
        <v>650</v>
      </c>
      <c r="F159" s="244"/>
      <c r="G159" s="213">
        <f>B74</f>
        <v>0</v>
      </c>
      <c r="H159" s="213"/>
      <c r="I159" s="213">
        <f>H66</f>
        <v>0</v>
      </c>
      <c r="J159" s="213"/>
      <c r="K159" s="213">
        <f>E159+G159-I159</f>
        <v>650</v>
      </c>
      <c r="L159" s="214"/>
      <c r="M159" s="119"/>
      <c r="N159" s="115"/>
      <c r="O159" s="262"/>
      <c r="P159" s="263"/>
      <c r="Q159" s="263"/>
      <c r="R159" s="263"/>
      <c r="S159" s="244"/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>
        <v>400</v>
      </c>
      <c r="F160" s="256"/>
      <c r="G160" s="257">
        <f>B80</f>
        <v>0</v>
      </c>
      <c r="H160" s="257"/>
      <c r="I160" s="257">
        <f>J66</f>
        <v>74</v>
      </c>
      <c r="J160" s="257"/>
      <c r="K160" s="257">
        <f t="shared" ref="K160:K166" si="18">E160+G160-I160</f>
        <v>326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  <c r="W166" s="1">
        <f>2530-1300</f>
        <v>1230</v>
      </c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2074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1050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2074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1050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f>'DOMINGO 07'!E171</f>
        <v>1486</v>
      </c>
      <c r="F169" s="224"/>
      <c r="G169" s="226" t="s">
        <v>85</v>
      </c>
      <c r="H169" s="226"/>
      <c r="I169" s="213">
        <f>'DOMINGO 07'!I171:J171</f>
        <v>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>
        <v>0</v>
      </c>
      <c r="R169" s="212"/>
      <c r="S169" s="213">
        <f>Q169+Q170</f>
        <v>1000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f>'DOMINGO 07'!I172:J172</f>
        <v>1486</v>
      </c>
      <c r="J170" s="219"/>
      <c r="K170" s="228"/>
      <c r="L170" s="229"/>
      <c r="M170" s="138"/>
      <c r="N170" s="139"/>
      <c r="O170" s="220" t="s">
        <v>86</v>
      </c>
      <c r="P170" s="220"/>
      <c r="Q170" s="221">
        <v>1000</v>
      </c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1510</v>
      </c>
      <c r="F171" s="204"/>
      <c r="G171" s="207" t="s">
        <v>85</v>
      </c>
      <c r="H171" s="207"/>
      <c r="I171" s="208">
        <f>I167-S167+I169-Q169</f>
        <v>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1510</v>
      </c>
      <c r="J172" s="196"/>
      <c r="K172" s="190"/>
      <c r="L172" s="191"/>
      <c r="M172" s="173"/>
      <c r="N172" s="173"/>
      <c r="O172" s="197">
        <v>2530</v>
      </c>
      <c r="P172" s="198"/>
      <c r="Q172" s="190"/>
      <c r="R172" s="191"/>
      <c r="S172" s="199">
        <f>O172-I172</f>
        <v>1020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f>240+60</f>
        <v>300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 t="s">
        <v>99</v>
      </c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</mergeCells>
  <conditionalFormatting sqref="Q122:R122 Q124:R124 Q126:R126 Q128:R128 Q130:R130 Q132:R132 Q134:R134 Q136:R136 Q138:R138 Q140:R140 Q142:R142 Q144:R144 Q146:R146 Q148:R148 Q150:R150">
    <cfRule type="cellIs" dxfId="21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20" priority="10" operator="lessThan">
      <formula>0</formula>
    </cfRule>
  </conditionalFormatting>
  <conditionalFormatting sqref="H71:I75">
    <cfRule type="cellIs" dxfId="19" priority="9" operator="greaterThan">
      <formula>0</formula>
    </cfRule>
  </conditionalFormatting>
  <conditionalFormatting sqref="H77:I81">
    <cfRule type="cellIs" dxfId="18" priority="8" operator="greaterThan">
      <formula>0</formula>
    </cfRule>
  </conditionalFormatting>
  <conditionalFormatting sqref="H83:I87">
    <cfRule type="cellIs" dxfId="17" priority="7" operator="greaterThan">
      <formula>0</formula>
    </cfRule>
  </conditionalFormatting>
  <conditionalFormatting sqref="H89:I93">
    <cfRule type="cellIs" dxfId="16" priority="6" operator="greaterThan">
      <formula>0</formula>
    </cfRule>
  </conditionalFormatting>
  <conditionalFormatting sqref="H95:I99">
    <cfRule type="cellIs" dxfId="15" priority="5" operator="greaterThan">
      <formula>0</formula>
    </cfRule>
  </conditionalFormatting>
  <conditionalFormatting sqref="H101:I105">
    <cfRule type="cellIs" dxfId="14" priority="4" operator="greaterThan">
      <formula>0</formula>
    </cfRule>
  </conditionalFormatting>
  <conditionalFormatting sqref="H107:I111">
    <cfRule type="cellIs" dxfId="13" priority="3" operator="greaterThan">
      <formula>0</formula>
    </cfRule>
  </conditionalFormatting>
  <conditionalFormatting sqref="H113:I117">
    <cfRule type="cellIs" dxfId="12" priority="2" operator="greaterThan">
      <formula>0</formula>
    </cfRule>
  </conditionalFormatting>
  <conditionalFormatting sqref="S171:T172">
    <cfRule type="cellIs" dxfId="11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4F51-A40E-4885-9E7B-140CD1EB2572}">
  <dimension ref="A1:Z182"/>
  <sheetViews>
    <sheetView topLeftCell="A118" zoomScale="85" zoomScaleNormal="85" workbookViewId="0">
      <selection activeCell="O173" sqref="O173"/>
    </sheetView>
  </sheetViews>
  <sheetFormatPr baseColWidth="10" defaultRowHeight="15" x14ac:dyDescent="0.25"/>
  <cols>
    <col min="1" max="1" width="5.7109375" customWidth="1"/>
    <col min="2" max="2" width="25.7109375" style="1" bestFit="1" customWidth="1"/>
    <col min="3" max="4" width="8.7109375" style="1" hidden="1" customWidth="1"/>
    <col min="5" max="12" width="6.7109375" style="1" customWidth="1"/>
    <col min="13" max="14" width="8.7109375" style="1" hidden="1" customWidth="1"/>
    <col min="15" max="22" width="6.7109375" style="1" customWidth="1"/>
    <col min="23" max="24" width="6.7109375" customWidth="1"/>
  </cols>
  <sheetData>
    <row r="1" spans="2:22" ht="20.45" customHeight="1" x14ac:dyDescent="0.25">
      <c r="B1" s="264">
        <f>B155</f>
        <v>46180</v>
      </c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6"/>
      <c r="S1" s="33"/>
      <c r="T1" s="33"/>
      <c r="U1" s="33"/>
      <c r="V1" s="33"/>
    </row>
    <row r="2" spans="2:22" ht="20.45" customHeight="1" thickBot="1" x14ac:dyDescent="0.3">
      <c r="B2" s="267" t="s">
        <v>36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9"/>
      <c r="S2" s="33"/>
      <c r="T2" s="33"/>
      <c r="U2" s="33"/>
      <c r="V2" s="33"/>
    </row>
    <row r="3" spans="2:22" s="2" customFormat="1" ht="30" customHeight="1" thickBot="1" x14ac:dyDescent="0.3">
      <c r="B3" s="106" t="s">
        <v>1</v>
      </c>
      <c r="C3" s="154" t="s">
        <v>35</v>
      </c>
      <c r="D3" s="154" t="s">
        <v>34</v>
      </c>
      <c r="E3" s="155" t="s">
        <v>11</v>
      </c>
      <c r="F3" s="155" t="s">
        <v>68</v>
      </c>
      <c r="G3" s="355" t="s">
        <v>33</v>
      </c>
      <c r="H3" s="356"/>
      <c r="I3" s="357" t="s">
        <v>1</v>
      </c>
      <c r="J3" s="358"/>
      <c r="K3" s="358"/>
      <c r="L3" s="359"/>
      <c r="M3" s="56" t="s">
        <v>35</v>
      </c>
      <c r="N3" s="57" t="s">
        <v>34</v>
      </c>
      <c r="O3" s="54" t="s">
        <v>11</v>
      </c>
      <c r="P3" s="54" t="s">
        <v>68</v>
      </c>
      <c r="Q3" s="360" t="s">
        <v>33</v>
      </c>
      <c r="R3" s="361"/>
      <c r="S3" s="19"/>
      <c r="T3" s="19"/>
      <c r="U3" s="34"/>
      <c r="V3" s="34"/>
    </row>
    <row r="4" spans="2:22" s="2" customFormat="1" ht="15" customHeight="1" x14ac:dyDescent="0.25">
      <c r="B4" s="158" t="s">
        <v>10</v>
      </c>
      <c r="C4" s="159">
        <v>15</v>
      </c>
      <c r="D4" s="159">
        <v>30</v>
      </c>
      <c r="E4" s="160"/>
      <c r="F4" s="161">
        <f>E4*D4</f>
        <v>0</v>
      </c>
      <c r="G4" s="147"/>
      <c r="H4" s="39">
        <f>G4*C4</f>
        <v>0</v>
      </c>
      <c r="I4" s="362" t="s">
        <v>14</v>
      </c>
      <c r="J4" s="363"/>
      <c r="K4" s="363"/>
      <c r="L4" s="364"/>
      <c r="M4" s="102">
        <v>6</v>
      </c>
      <c r="N4" s="103">
        <v>10</v>
      </c>
      <c r="O4" s="51"/>
      <c r="P4" s="45">
        <f>O4*N4</f>
        <v>0</v>
      </c>
      <c r="Q4" s="48"/>
      <c r="R4" s="49"/>
      <c r="S4" s="35"/>
      <c r="T4" s="35"/>
      <c r="U4" s="12"/>
      <c r="V4" s="36"/>
    </row>
    <row r="5" spans="2:22" ht="15" customHeight="1" x14ac:dyDescent="0.25">
      <c r="B5" s="162" t="s">
        <v>9</v>
      </c>
      <c r="C5" s="156">
        <v>14</v>
      </c>
      <c r="D5" s="156">
        <v>30</v>
      </c>
      <c r="E5" s="157"/>
      <c r="F5" s="105">
        <f t="shared" ref="F5:F31" si="0">E5*D5</f>
        <v>0</v>
      </c>
      <c r="G5" s="148"/>
      <c r="H5" s="40">
        <f t="shared" ref="H5:H12" si="1">G5*C5</f>
        <v>0</v>
      </c>
      <c r="I5" s="344" t="s">
        <v>48</v>
      </c>
      <c r="J5" s="345"/>
      <c r="K5" s="345"/>
      <c r="L5" s="346"/>
      <c r="M5" s="102">
        <v>13</v>
      </c>
      <c r="N5" s="103">
        <v>25</v>
      </c>
      <c r="O5" s="52"/>
      <c r="P5" s="44">
        <f t="shared" ref="P5:P31" si="2">O5*N5</f>
        <v>0</v>
      </c>
      <c r="Q5" s="38"/>
      <c r="R5" s="46">
        <f t="shared" ref="R5:R24" si="3">Q5*M5</f>
        <v>0</v>
      </c>
      <c r="S5" s="35"/>
      <c r="T5" s="35"/>
      <c r="U5" s="12"/>
      <c r="V5" s="36"/>
    </row>
    <row r="6" spans="2:22" ht="15" customHeight="1" x14ac:dyDescent="0.25">
      <c r="B6" s="163" t="s">
        <v>7</v>
      </c>
      <c r="C6" s="156">
        <v>17</v>
      </c>
      <c r="D6" s="156">
        <v>35</v>
      </c>
      <c r="E6" s="157">
        <v>2</v>
      </c>
      <c r="F6" s="104">
        <f t="shared" si="0"/>
        <v>70</v>
      </c>
      <c r="G6" s="149"/>
      <c r="H6" s="41">
        <f t="shared" si="1"/>
        <v>0</v>
      </c>
      <c r="I6" s="347" t="s">
        <v>17</v>
      </c>
      <c r="J6" s="348"/>
      <c r="K6" s="348"/>
      <c r="L6" s="349"/>
      <c r="M6" s="102">
        <v>11</v>
      </c>
      <c r="N6" s="103">
        <v>35</v>
      </c>
      <c r="O6" s="53"/>
      <c r="P6" s="43">
        <f t="shared" si="2"/>
        <v>0</v>
      </c>
      <c r="Q6" s="38"/>
      <c r="R6" s="47">
        <f t="shared" si="3"/>
        <v>0</v>
      </c>
      <c r="S6" s="35"/>
      <c r="T6" s="35"/>
      <c r="U6" s="12"/>
      <c r="V6" s="36"/>
    </row>
    <row r="7" spans="2:22" ht="15" customHeight="1" x14ac:dyDescent="0.25">
      <c r="B7" s="162" t="s">
        <v>8</v>
      </c>
      <c r="C7" s="156">
        <v>17</v>
      </c>
      <c r="D7" s="156">
        <v>35</v>
      </c>
      <c r="E7" s="157">
        <v>1</v>
      </c>
      <c r="F7" s="105">
        <f t="shared" si="0"/>
        <v>35</v>
      </c>
      <c r="G7" s="148"/>
      <c r="H7" s="40">
        <f t="shared" si="1"/>
        <v>0</v>
      </c>
      <c r="I7" s="344" t="s">
        <v>18</v>
      </c>
      <c r="J7" s="345"/>
      <c r="K7" s="345"/>
      <c r="L7" s="346"/>
      <c r="M7" s="102">
        <v>10</v>
      </c>
      <c r="N7" s="103">
        <v>15</v>
      </c>
      <c r="O7" s="52">
        <v>1</v>
      </c>
      <c r="P7" s="44">
        <f t="shared" si="2"/>
        <v>15</v>
      </c>
      <c r="Q7" s="38"/>
      <c r="R7" s="46">
        <f t="shared" si="3"/>
        <v>0</v>
      </c>
      <c r="S7" s="35"/>
      <c r="T7" s="35"/>
      <c r="U7" s="12"/>
      <c r="V7" s="36"/>
    </row>
    <row r="8" spans="2:22" ht="15" customHeight="1" x14ac:dyDescent="0.25">
      <c r="B8" s="163" t="s">
        <v>6</v>
      </c>
      <c r="C8" s="156">
        <v>37</v>
      </c>
      <c r="D8" s="156">
        <v>70</v>
      </c>
      <c r="E8" s="157">
        <v>5</v>
      </c>
      <c r="F8" s="104">
        <f t="shared" si="0"/>
        <v>350</v>
      </c>
      <c r="G8" s="149"/>
      <c r="H8" s="41">
        <f t="shared" si="1"/>
        <v>0</v>
      </c>
      <c r="I8" s="347" t="s">
        <v>30</v>
      </c>
      <c r="J8" s="348"/>
      <c r="K8" s="348"/>
      <c r="L8" s="349"/>
      <c r="M8" s="102">
        <v>0</v>
      </c>
      <c r="N8" s="103">
        <v>10</v>
      </c>
      <c r="O8" s="53">
        <v>13</v>
      </c>
      <c r="P8" s="43">
        <f t="shared" si="2"/>
        <v>130</v>
      </c>
      <c r="Q8" s="37"/>
      <c r="R8" s="50">
        <f t="shared" si="3"/>
        <v>0</v>
      </c>
      <c r="S8" s="35"/>
      <c r="T8" s="35"/>
      <c r="U8" s="12"/>
      <c r="V8" s="36"/>
    </row>
    <row r="9" spans="2:22" ht="15" customHeight="1" x14ac:dyDescent="0.25">
      <c r="B9" s="162" t="s">
        <v>5</v>
      </c>
      <c r="C9" s="156">
        <v>35</v>
      </c>
      <c r="D9" s="156">
        <v>60</v>
      </c>
      <c r="E9" s="157">
        <v>11</v>
      </c>
      <c r="F9" s="105">
        <f t="shared" si="0"/>
        <v>660</v>
      </c>
      <c r="G9" s="148"/>
      <c r="H9" s="40">
        <f t="shared" si="1"/>
        <v>0</v>
      </c>
      <c r="I9" s="344" t="s">
        <v>50</v>
      </c>
      <c r="J9" s="345"/>
      <c r="K9" s="345"/>
      <c r="L9" s="346"/>
      <c r="M9" s="102">
        <v>14.8</v>
      </c>
      <c r="N9" s="103">
        <v>35</v>
      </c>
      <c r="O9" s="52"/>
      <c r="P9" s="44">
        <f t="shared" si="2"/>
        <v>0</v>
      </c>
      <c r="Q9" s="38"/>
      <c r="R9" s="46">
        <f t="shared" si="3"/>
        <v>0</v>
      </c>
      <c r="S9" s="35"/>
      <c r="T9" s="35"/>
      <c r="U9" s="12"/>
      <c r="V9" s="36"/>
    </row>
    <row r="10" spans="2:22" ht="15" customHeight="1" x14ac:dyDescent="0.25">
      <c r="B10" s="163" t="s">
        <v>4</v>
      </c>
      <c r="C10" s="156">
        <v>35</v>
      </c>
      <c r="D10" s="156">
        <v>60</v>
      </c>
      <c r="E10" s="157"/>
      <c r="F10" s="104">
        <f t="shared" si="0"/>
        <v>0</v>
      </c>
      <c r="G10" s="149"/>
      <c r="H10" s="41">
        <f t="shared" si="1"/>
        <v>0</v>
      </c>
      <c r="I10" s="347" t="s">
        <v>15</v>
      </c>
      <c r="J10" s="348"/>
      <c r="K10" s="348"/>
      <c r="L10" s="349"/>
      <c r="M10" s="102">
        <v>13</v>
      </c>
      <c r="N10" s="103">
        <v>20</v>
      </c>
      <c r="O10" s="53"/>
      <c r="P10" s="43">
        <f t="shared" si="2"/>
        <v>0</v>
      </c>
      <c r="Q10" s="38"/>
      <c r="R10" s="47">
        <f t="shared" si="3"/>
        <v>0</v>
      </c>
      <c r="S10" s="35"/>
      <c r="T10" s="35"/>
      <c r="U10" s="12"/>
      <c r="V10" s="36"/>
    </row>
    <row r="11" spans="2:22" ht="15" customHeight="1" x14ac:dyDescent="0.25">
      <c r="B11" s="162" t="s">
        <v>2</v>
      </c>
      <c r="C11" s="156">
        <v>41</v>
      </c>
      <c r="D11" s="156">
        <v>80</v>
      </c>
      <c r="E11" s="157">
        <v>5</v>
      </c>
      <c r="F11" s="105">
        <f t="shared" si="0"/>
        <v>400</v>
      </c>
      <c r="G11" s="148"/>
      <c r="H11" s="40">
        <f t="shared" si="1"/>
        <v>0</v>
      </c>
      <c r="I11" s="344" t="s">
        <v>16</v>
      </c>
      <c r="J11" s="345"/>
      <c r="K11" s="345"/>
      <c r="L11" s="346"/>
      <c r="M11" s="102">
        <v>11</v>
      </c>
      <c r="N11" s="103">
        <v>20</v>
      </c>
      <c r="O11" s="52"/>
      <c r="P11" s="44">
        <f t="shared" si="2"/>
        <v>0</v>
      </c>
      <c r="Q11" s="38"/>
      <c r="R11" s="46">
        <f t="shared" si="3"/>
        <v>0</v>
      </c>
      <c r="S11" s="35"/>
      <c r="T11" s="35"/>
      <c r="U11" s="12"/>
      <c r="V11" s="36"/>
    </row>
    <row r="12" spans="2:22" ht="15" customHeight="1" x14ac:dyDescent="0.25">
      <c r="B12" s="163" t="s">
        <v>3</v>
      </c>
      <c r="C12" s="156">
        <v>41</v>
      </c>
      <c r="D12" s="156">
        <v>80</v>
      </c>
      <c r="E12" s="157"/>
      <c r="F12" s="104">
        <f t="shared" si="0"/>
        <v>0</v>
      </c>
      <c r="G12" s="149"/>
      <c r="H12" s="41">
        <f t="shared" si="1"/>
        <v>0</v>
      </c>
      <c r="I12" s="347" t="s">
        <v>22</v>
      </c>
      <c r="J12" s="348"/>
      <c r="K12" s="348"/>
      <c r="L12" s="349"/>
      <c r="M12" s="102">
        <v>10</v>
      </c>
      <c r="N12" s="103">
        <v>20</v>
      </c>
      <c r="O12" s="53"/>
      <c r="P12" s="43">
        <f t="shared" si="2"/>
        <v>0</v>
      </c>
      <c r="Q12" s="38"/>
      <c r="R12" s="47">
        <f t="shared" si="3"/>
        <v>0</v>
      </c>
      <c r="S12" s="35"/>
      <c r="T12" s="35"/>
      <c r="U12" s="12"/>
      <c r="V12" s="36"/>
    </row>
    <row r="13" spans="2:22" ht="15" customHeight="1" x14ac:dyDescent="0.25">
      <c r="B13" s="162" t="s">
        <v>53</v>
      </c>
      <c r="C13" s="156">
        <f>14*6</f>
        <v>84</v>
      </c>
      <c r="D13" s="156">
        <v>160</v>
      </c>
      <c r="E13" s="157"/>
      <c r="F13" s="105">
        <f t="shared" si="0"/>
        <v>0</v>
      </c>
      <c r="G13" s="150"/>
      <c r="H13" s="42"/>
      <c r="I13" s="344" t="s">
        <v>32</v>
      </c>
      <c r="J13" s="345"/>
      <c r="K13" s="345"/>
      <c r="L13" s="346"/>
      <c r="M13" s="102">
        <v>40</v>
      </c>
      <c r="N13" s="103">
        <v>60</v>
      </c>
      <c r="O13" s="52"/>
      <c r="P13" s="44">
        <f t="shared" si="2"/>
        <v>0</v>
      </c>
      <c r="Q13" s="37"/>
      <c r="R13" s="50"/>
      <c r="S13" s="35"/>
      <c r="T13" s="35"/>
      <c r="U13" s="12"/>
      <c r="V13" s="36"/>
    </row>
    <row r="14" spans="2:22" ht="15" customHeight="1" x14ac:dyDescent="0.25">
      <c r="B14" s="162" t="s">
        <v>54</v>
      </c>
      <c r="C14" s="156">
        <f>14*6</f>
        <v>84</v>
      </c>
      <c r="D14" s="156">
        <v>160</v>
      </c>
      <c r="E14" s="157"/>
      <c r="F14" s="105">
        <f t="shared" si="0"/>
        <v>0</v>
      </c>
      <c r="G14" s="151"/>
      <c r="H14" s="42"/>
      <c r="I14" s="347" t="s">
        <v>67</v>
      </c>
      <c r="J14" s="348"/>
      <c r="K14" s="348"/>
      <c r="L14" s="349"/>
      <c r="M14" s="102">
        <v>25</v>
      </c>
      <c r="N14" s="103">
        <v>45</v>
      </c>
      <c r="O14" s="53"/>
      <c r="P14" s="43">
        <f t="shared" si="2"/>
        <v>0</v>
      </c>
      <c r="Q14" s="37"/>
      <c r="R14" s="50"/>
      <c r="S14" s="35"/>
      <c r="T14" s="35"/>
      <c r="U14" s="12"/>
      <c r="V14" s="36"/>
    </row>
    <row r="15" spans="2:22" ht="15" customHeight="1" x14ac:dyDescent="0.25">
      <c r="B15" s="163" t="s">
        <v>55</v>
      </c>
      <c r="C15" s="156">
        <f>17*6</f>
        <v>102</v>
      </c>
      <c r="D15" s="156">
        <v>180</v>
      </c>
      <c r="E15" s="157"/>
      <c r="F15" s="104">
        <f t="shared" si="0"/>
        <v>0</v>
      </c>
      <c r="G15" s="150"/>
      <c r="H15" s="42"/>
      <c r="I15" s="344" t="s">
        <v>66</v>
      </c>
      <c r="J15" s="345"/>
      <c r="K15" s="345"/>
      <c r="L15" s="346"/>
      <c r="M15" s="102">
        <v>25</v>
      </c>
      <c r="N15" s="103">
        <v>45</v>
      </c>
      <c r="O15" s="52"/>
      <c r="P15" s="44">
        <f t="shared" si="2"/>
        <v>0</v>
      </c>
      <c r="Q15" s="37"/>
      <c r="R15" s="50"/>
      <c r="S15" s="35"/>
      <c r="T15" s="35"/>
      <c r="U15" s="12"/>
      <c r="V15" s="36"/>
    </row>
    <row r="16" spans="2:22" ht="15" customHeight="1" x14ac:dyDescent="0.25">
      <c r="B16" s="162" t="s">
        <v>56</v>
      </c>
      <c r="C16" s="156">
        <f>17*6</f>
        <v>102</v>
      </c>
      <c r="D16" s="156">
        <v>180</v>
      </c>
      <c r="E16" s="157"/>
      <c r="F16" s="105">
        <f t="shared" si="0"/>
        <v>0</v>
      </c>
      <c r="G16" s="151"/>
      <c r="H16" s="42"/>
      <c r="I16" s="347" t="s">
        <v>25</v>
      </c>
      <c r="J16" s="348"/>
      <c r="K16" s="348"/>
      <c r="L16" s="349"/>
      <c r="M16" s="102">
        <v>35</v>
      </c>
      <c r="N16" s="103">
        <v>50</v>
      </c>
      <c r="O16" s="53"/>
      <c r="P16" s="43">
        <f t="shared" si="2"/>
        <v>0</v>
      </c>
      <c r="Q16" s="38"/>
      <c r="R16" s="47">
        <f t="shared" si="3"/>
        <v>0</v>
      </c>
      <c r="S16" s="35"/>
      <c r="T16" s="35"/>
      <c r="U16" s="12"/>
      <c r="V16" s="36"/>
    </row>
    <row r="17" spans="2:22" ht="15" customHeight="1" x14ac:dyDescent="0.25">
      <c r="B17" s="163" t="s">
        <v>57</v>
      </c>
      <c r="C17" s="156">
        <f>37*3</f>
        <v>111</v>
      </c>
      <c r="D17" s="156">
        <v>195</v>
      </c>
      <c r="E17" s="157"/>
      <c r="F17" s="104">
        <f t="shared" si="0"/>
        <v>0</v>
      </c>
      <c r="G17" s="150"/>
      <c r="H17" s="42"/>
      <c r="I17" s="344" t="s">
        <v>26</v>
      </c>
      <c r="J17" s="345"/>
      <c r="K17" s="345"/>
      <c r="L17" s="346"/>
      <c r="M17" s="102">
        <v>27</v>
      </c>
      <c r="N17" s="103">
        <v>45</v>
      </c>
      <c r="O17" s="52"/>
      <c r="P17" s="44">
        <f t="shared" si="2"/>
        <v>0</v>
      </c>
      <c r="Q17" s="37"/>
      <c r="R17" s="50">
        <f t="shared" si="3"/>
        <v>0</v>
      </c>
      <c r="S17" s="35"/>
      <c r="T17" s="35"/>
      <c r="U17" s="12"/>
      <c r="V17" s="36"/>
    </row>
    <row r="18" spans="2:22" ht="15" customHeight="1" x14ac:dyDescent="0.25">
      <c r="B18" s="162" t="s">
        <v>58</v>
      </c>
      <c r="C18" s="156">
        <f>35*3</f>
        <v>105</v>
      </c>
      <c r="D18" s="156">
        <v>165</v>
      </c>
      <c r="E18" s="157"/>
      <c r="F18" s="105">
        <f t="shared" si="0"/>
        <v>0</v>
      </c>
      <c r="G18" s="151"/>
      <c r="H18" s="42"/>
      <c r="I18" s="347" t="s">
        <v>27</v>
      </c>
      <c r="J18" s="348"/>
      <c r="K18" s="348"/>
      <c r="L18" s="349"/>
      <c r="M18" s="102">
        <v>10</v>
      </c>
      <c r="N18" s="103">
        <v>25</v>
      </c>
      <c r="O18" s="53"/>
      <c r="P18" s="43">
        <f t="shared" si="2"/>
        <v>0</v>
      </c>
      <c r="Q18" s="37"/>
      <c r="R18" s="50">
        <f t="shared" si="3"/>
        <v>0</v>
      </c>
      <c r="S18" s="35"/>
      <c r="T18" s="35"/>
      <c r="U18" s="12"/>
      <c r="V18" s="36"/>
    </row>
    <row r="19" spans="2:22" ht="15" customHeight="1" x14ac:dyDescent="0.25">
      <c r="B19" s="163" t="s">
        <v>59</v>
      </c>
      <c r="C19" s="156">
        <f>35*3</f>
        <v>105</v>
      </c>
      <c r="D19" s="156">
        <v>165</v>
      </c>
      <c r="E19" s="157"/>
      <c r="F19" s="104">
        <f t="shared" si="0"/>
        <v>0</v>
      </c>
      <c r="G19" s="150"/>
      <c r="H19" s="42"/>
      <c r="I19" s="344" t="s">
        <v>20</v>
      </c>
      <c r="J19" s="345"/>
      <c r="K19" s="345"/>
      <c r="L19" s="346"/>
      <c r="M19" s="102">
        <v>14</v>
      </c>
      <c r="N19" s="103">
        <v>35</v>
      </c>
      <c r="O19" s="52"/>
      <c r="P19" s="44">
        <f t="shared" si="2"/>
        <v>0</v>
      </c>
      <c r="Q19" s="37"/>
      <c r="R19" s="50">
        <f t="shared" si="3"/>
        <v>0</v>
      </c>
      <c r="S19" s="35"/>
      <c r="T19" s="35"/>
      <c r="U19" s="12"/>
      <c r="V19" s="36"/>
    </row>
    <row r="20" spans="2:22" ht="15" customHeight="1" x14ac:dyDescent="0.25">
      <c r="B20" s="162" t="s">
        <v>60</v>
      </c>
      <c r="C20" s="156">
        <f>41*3</f>
        <v>123</v>
      </c>
      <c r="D20" s="156">
        <v>225</v>
      </c>
      <c r="E20" s="157"/>
      <c r="F20" s="105">
        <f t="shared" si="0"/>
        <v>0</v>
      </c>
      <c r="G20" s="151"/>
      <c r="H20" s="42"/>
      <c r="I20" s="347" t="s">
        <v>19</v>
      </c>
      <c r="J20" s="348"/>
      <c r="K20" s="348"/>
      <c r="L20" s="349"/>
      <c r="M20" s="102">
        <v>40</v>
      </c>
      <c r="N20" s="103">
        <v>70</v>
      </c>
      <c r="O20" s="53"/>
      <c r="P20" s="43">
        <f t="shared" si="2"/>
        <v>0</v>
      </c>
      <c r="Q20" s="37"/>
      <c r="R20" s="50">
        <f t="shared" si="3"/>
        <v>0</v>
      </c>
      <c r="S20" s="35"/>
      <c r="T20" s="35"/>
      <c r="U20" s="12"/>
      <c r="V20" s="36"/>
    </row>
    <row r="21" spans="2:22" ht="15" customHeight="1" x14ac:dyDescent="0.25">
      <c r="B21" s="163" t="s">
        <v>61</v>
      </c>
      <c r="C21" s="156">
        <f>41*3</f>
        <v>123</v>
      </c>
      <c r="D21" s="156">
        <v>225</v>
      </c>
      <c r="E21" s="157"/>
      <c r="F21" s="104">
        <f t="shared" si="0"/>
        <v>0</v>
      </c>
      <c r="G21" s="150"/>
      <c r="H21" s="42"/>
      <c r="I21" s="344" t="s">
        <v>49</v>
      </c>
      <c r="J21" s="345"/>
      <c r="K21" s="345"/>
      <c r="L21" s="346"/>
      <c r="M21" s="102">
        <v>8</v>
      </c>
      <c r="N21" s="103">
        <v>15</v>
      </c>
      <c r="O21" s="52"/>
      <c r="P21" s="44">
        <f t="shared" si="2"/>
        <v>0</v>
      </c>
      <c r="Q21" s="37"/>
      <c r="R21" s="50">
        <f t="shared" si="3"/>
        <v>0</v>
      </c>
      <c r="S21" s="35"/>
      <c r="T21" s="35"/>
      <c r="U21" s="12"/>
      <c r="V21" s="36"/>
    </row>
    <row r="22" spans="2:22" ht="15" customHeight="1" x14ac:dyDescent="0.25">
      <c r="B22" s="162" t="s">
        <v>62</v>
      </c>
      <c r="C22" s="156">
        <v>40</v>
      </c>
      <c r="D22" s="156">
        <v>95</v>
      </c>
      <c r="E22" s="157"/>
      <c r="F22" s="105">
        <f t="shared" si="0"/>
        <v>0</v>
      </c>
      <c r="G22" s="151"/>
      <c r="H22" s="42"/>
      <c r="I22" s="347" t="s">
        <v>44</v>
      </c>
      <c r="J22" s="348"/>
      <c r="K22" s="348"/>
      <c r="L22" s="349"/>
      <c r="M22" s="102">
        <v>28</v>
      </c>
      <c r="N22" s="103">
        <v>50</v>
      </c>
      <c r="O22" s="53"/>
      <c r="P22" s="43">
        <f t="shared" si="2"/>
        <v>0</v>
      </c>
      <c r="Q22" s="37"/>
      <c r="R22" s="50">
        <f t="shared" si="3"/>
        <v>0</v>
      </c>
      <c r="S22" s="35"/>
      <c r="T22" s="35"/>
      <c r="U22" s="12"/>
      <c r="V22" s="36"/>
    </row>
    <row r="23" spans="2:22" ht="15" customHeight="1" x14ac:dyDescent="0.25">
      <c r="B23" s="162" t="s">
        <v>63</v>
      </c>
      <c r="C23" s="156">
        <v>40</v>
      </c>
      <c r="D23" s="156">
        <v>95</v>
      </c>
      <c r="E23" s="157"/>
      <c r="F23" s="105">
        <f t="shared" si="0"/>
        <v>0</v>
      </c>
      <c r="G23" s="152"/>
      <c r="H23" s="40">
        <f>G23*C23</f>
        <v>0</v>
      </c>
      <c r="I23" s="344" t="s">
        <v>45</v>
      </c>
      <c r="J23" s="345"/>
      <c r="K23" s="345"/>
      <c r="L23" s="346"/>
      <c r="M23" s="102"/>
      <c r="N23" s="103">
        <v>300</v>
      </c>
      <c r="O23" s="52"/>
      <c r="P23" s="44">
        <f t="shared" si="2"/>
        <v>0</v>
      </c>
      <c r="Q23" s="37"/>
      <c r="R23" s="50"/>
      <c r="S23" s="35"/>
      <c r="T23" s="35"/>
      <c r="U23" s="12"/>
      <c r="V23" s="36"/>
    </row>
    <row r="24" spans="2:22" ht="15" customHeight="1" x14ac:dyDescent="0.25">
      <c r="B24" s="163" t="s">
        <v>64</v>
      </c>
      <c r="C24" s="156">
        <v>45</v>
      </c>
      <c r="D24" s="156">
        <v>95</v>
      </c>
      <c r="E24" s="157"/>
      <c r="F24" s="104">
        <f t="shared" si="0"/>
        <v>0</v>
      </c>
      <c r="G24" s="153"/>
      <c r="H24" s="41">
        <f t="shared" ref="H24:H31" si="4">G24*C24</f>
        <v>0</v>
      </c>
      <c r="I24" s="347" t="s">
        <v>47</v>
      </c>
      <c r="J24" s="348"/>
      <c r="K24" s="348"/>
      <c r="L24" s="349"/>
      <c r="M24" s="102">
        <v>17</v>
      </c>
      <c r="N24" s="103">
        <v>35</v>
      </c>
      <c r="O24" s="53"/>
      <c r="P24" s="43">
        <f t="shared" si="2"/>
        <v>0</v>
      </c>
      <c r="Q24" s="38"/>
      <c r="R24" s="47">
        <f t="shared" si="3"/>
        <v>0</v>
      </c>
      <c r="S24" s="35"/>
      <c r="T24" s="35"/>
      <c r="U24" s="12"/>
      <c r="V24" s="36"/>
    </row>
    <row r="25" spans="2:22" ht="15" customHeight="1" x14ac:dyDescent="0.25">
      <c r="B25" s="162" t="s">
        <v>65</v>
      </c>
      <c r="C25" s="156">
        <v>45</v>
      </c>
      <c r="D25" s="156">
        <v>95</v>
      </c>
      <c r="E25" s="157"/>
      <c r="F25" s="105">
        <f t="shared" si="0"/>
        <v>0</v>
      </c>
      <c r="G25" s="152"/>
      <c r="H25" s="40">
        <f t="shared" si="4"/>
        <v>0</v>
      </c>
      <c r="I25" s="344" t="s">
        <v>97</v>
      </c>
      <c r="J25" s="345"/>
      <c r="K25" s="345"/>
      <c r="L25" s="346"/>
      <c r="M25" s="102"/>
      <c r="N25" s="103">
        <v>35</v>
      </c>
      <c r="O25" s="52"/>
      <c r="P25" s="44">
        <f t="shared" si="2"/>
        <v>0</v>
      </c>
      <c r="Q25" s="37"/>
      <c r="R25" s="50"/>
      <c r="S25" s="35"/>
      <c r="T25" s="35"/>
      <c r="U25" s="12"/>
      <c r="V25" s="36"/>
    </row>
    <row r="26" spans="2:22" ht="15" customHeight="1" x14ac:dyDescent="0.25">
      <c r="B26" s="163" t="s">
        <v>38</v>
      </c>
      <c r="C26" s="156">
        <v>25</v>
      </c>
      <c r="D26" s="156">
        <v>50</v>
      </c>
      <c r="E26" s="157"/>
      <c r="F26" s="104">
        <f t="shared" si="0"/>
        <v>0</v>
      </c>
      <c r="G26" s="153"/>
      <c r="H26" s="41">
        <f t="shared" si="4"/>
        <v>0</v>
      </c>
      <c r="I26" s="347"/>
      <c r="J26" s="348"/>
      <c r="K26" s="348"/>
      <c r="L26" s="349"/>
      <c r="M26" s="102"/>
      <c r="N26" s="103"/>
      <c r="O26" s="53"/>
      <c r="P26" s="43">
        <f t="shared" si="2"/>
        <v>0</v>
      </c>
      <c r="Q26" s="37"/>
      <c r="R26" s="50"/>
      <c r="S26" s="35"/>
      <c r="T26" s="35"/>
      <c r="U26" s="12"/>
      <c r="V26" s="36"/>
    </row>
    <row r="27" spans="2:22" ht="15" customHeight="1" x14ac:dyDescent="0.25">
      <c r="B27" s="162" t="s">
        <v>39</v>
      </c>
      <c r="C27" s="156">
        <v>30</v>
      </c>
      <c r="D27" s="156">
        <v>70</v>
      </c>
      <c r="E27" s="157"/>
      <c r="F27" s="105">
        <f t="shared" si="0"/>
        <v>0</v>
      </c>
      <c r="G27" s="152"/>
      <c r="H27" s="40">
        <f t="shared" si="4"/>
        <v>0</v>
      </c>
      <c r="I27" s="344"/>
      <c r="J27" s="345"/>
      <c r="K27" s="345"/>
      <c r="L27" s="346"/>
      <c r="M27" s="102"/>
      <c r="N27" s="103"/>
      <c r="O27" s="52"/>
      <c r="P27" s="44">
        <f t="shared" si="2"/>
        <v>0</v>
      </c>
      <c r="Q27" s="37"/>
      <c r="R27" s="50"/>
      <c r="S27" s="35"/>
      <c r="T27" s="35"/>
      <c r="U27" s="12"/>
      <c r="V27" s="36"/>
    </row>
    <row r="28" spans="2:22" ht="15" customHeight="1" x14ac:dyDescent="0.25">
      <c r="B28" s="163" t="s">
        <v>40</v>
      </c>
      <c r="C28" s="156">
        <v>50</v>
      </c>
      <c r="D28" s="156">
        <v>100</v>
      </c>
      <c r="E28" s="157"/>
      <c r="F28" s="104">
        <f t="shared" si="0"/>
        <v>0</v>
      </c>
      <c r="G28" s="153"/>
      <c r="H28" s="41">
        <f t="shared" si="4"/>
        <v>0</v>
      </c>
      <c r="I28" s="347"/>
      <c r="J28" s="348"/>
      <c r="K28" s="348"/>
      <c r="L28" s="349"/>
      <c r="M28" s="102"/>
      <c r="N28" s="103"/>
      <c r="O28" s="53"/>
      <c r="P28" s="43">
        <f t="shared" si="2"/>
        <v>0</v>
      </c>
      <c r="Q28" s="37"/>
      <c r="R28" s="50"/>
      <c r="S28" s="35"/>
      <c r="T28" s="35"/>
      <c r="U28" s="12"/>
      <c r="V28" s="36"/>
    </row>
    <row r="29" spans="2:22" ht="15" customHeight="1" x14ac:dyDescent="0.25">
      <c r="B29" s="162" t="s">
        <v>41</v>
      </c>
      <c r="C29" s="156">
        <v>70</v>
      </c>
      <c r="D29" s="156">
        <v>120</v>
      </c>
      <c r="E29" s="157"/>
      <c r="F29" s="105">
        <f t="shared" si="0"/>
        <v>0</v>
      </c>
      <c r="G29" s="152"/>
      <c r="H29" s="40">
        <f t="shared" si="4"/>
        <v>0</v>
      </c>
      <c r="I29" s="344"/>
      <c r="J29" s="345"/>
      <c r="K29" s="345"/>
      <c r="L29" s="346"/>
      <c r="M29" s="102"/>
      <c r="N29" s="103"/>
      <c r="O29" s="52"/>
      <c r="P29" s="44">
        <f t="shared" si="2"/>
        <v>0</v>
      </c>
      <c r="Q29" s="37"/>
      <c r="R29" s="50"/>
      <c r="S29" s="35"/>
      <c r="T29" s="35"/>
      <c r="U29" s="12"/>
      <c r="V29" s="36"/>
    </row>
    <row r="30" spans="2:22" ht="15" customHeight="1" x14ac:dyDescent="0.25">
      <c r="B30" s="163" t="s">
        <v>42</v>
      </c>
      <c r="C30" s="156">
        <v>100</v>
      </c>
      <c r="D30" s="156">
        <v>150</v>
      </c>
      <c r="E30" s="157"/>
      <c r="F30" s="104">
        <f t="shared" si="0"/>
        <v>0</v>
      </c>
      <c r="G30" s="153"/>
      <c r="H30" s="41">
        <f t="shared" si="4"/>
        <v>0</v>
      </c>
      <c r="I30" s="347"/>
      <c r="J30" s="348"/>
      <c r="K30" s="348"/>
      <c r="L30" s="349"/>
      <c r="M30" s="102"/>
      <c r="N30" s="103"/>
      <c r="O30" s="53"/>
      <c r="P30" s="43">
        <f t="shared" si="2"/>
        <v>0</v>
      </c>
      <c r="Q30" s="37"/>
      <c r="R30" s="50"/>
      <c r="S30" s="35"/>
      <c r="T30" s="35"/>
      <c r="U30" s="12"/>
      <c r="V30" s="36"/>
    </row>
    <row r="31" spans="2:22" ht="15" customHeight="1" thickBot="1" x14ac:dyDescent="0.3">
      <c r="B31" s="164" t="s">
        <v>13</v>
      </c>
      <c r="C31" s="165">
        <v>40</v>
      </c>
      <c r="D31" s="165">
        <v>95</v>
      </c>
      <c r="E31" s="166"/>
      <c r="F31" s="167">
        <f t="shared" si="0"/>
        <v>0</v>
      </c>
      <c r="G31" s="168"/>
      <c r="H31" s="134">
        <f t="shared" si="4"/>
        <v>0</v>
      </c>
      <c r="I31" s="344"/>
      <c r="J31" s="345"/>
      <c r="K31" s="345"/>
      <c r="L31" s="346"/>
      <c r="M31" s="102"/>
      <c r="N31" s="103"/>
      <c r="O31" s="52"/>
      <c r="P31" s="44">
        <f t="shared" si="2"/>
        <v>0</v>
      </c>
      <c r="Q31" s="37"/>
      <c r="R31" s="50"/>
      <c r="S31" s="35"/>
      <c r="T31" s="35"/>
      <c r="U31" s="12"/>
      <c r="V31" s="36"/>
    </row>
    <row r="32" spans="2:22" ht="19.899999999999999" customHeight="1" thickBot="1" x14ac:dyDescent="0.3">
      <c r="B32" s="350" t="s">
        <v>69</v>
      </c>
      <c r="C32" s="351"/>
      <c r="D32" s="351"/>
      <c r="E32" s="351"/>
      <c r="F32" s="351"/>
      <c r="G32" s="352">
        <f>SUM(F4:F31,P4:P31)</f>
        <v>1660</v>
      </c>
      <c r="H32" s="353"/>
      <c r="I32" s="354" t="s">
        <v>70</v>
      </c>
      <c r="J32" s="333"/>
      <c r="K32" s="333"/>
      <c r="L32" s="333"/>
      <c r="M32" s="333"/>
      <c r="N32" s="333"/>
      <c r="O32" s="333"/>
      <c r="P32" s="333"/>
      <c r="Q32" s="333">
        <f>SUM(H4:H31,R4:R31)</f>
        <v>0</v>
      </c>
      <c r="R32" s="334"/>
      <c r="S32" s="15"/>
      <c r="T32" s="15"/>
      <c r="U32" s="15"/>
      <c r="V32" s="15"/>
    </row>
    <row r="33" spans="2:24" ht="19.899999999999999" customHeight="1" thickBot="1" x14ac:dyDescent="0.3"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62"/>
      <c r="T33" s="62"/>
      <c r="U33" s="62"/>
      <c r="V33" s="62"/>
      <c r="W33" s="62"/>
      <c r="X33" s="62"/>
    </row>
    <row r="34" spans="2:24" ht="19.899999999999999" customHeight="1" x14ac:dyDescent="0.25">
      <c r="B34" s="264">
        <f>B155</f>
        <v>46180</v>
      </c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6"/>
    </row>
    <row r="35" spans="2:24" ht="20.45" customHeight="1" thickBot="1" x14ac:dyDescent="0.3">
      <c r="B35" s="267" t="s">
        <v>71</v>
      </c>
      <c r="C35" s="268"/>
      <c r="D35" s="268"/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9"/>
    </row>
    <row r="36" spans="2:24" ht="15" customHeight="1" x14ac:dyDescent="0.25">
      <c r="B36" s="336" t="s">
        <v>1</v>
      </c>
      <c r="C36" s="338" t="s">
        <v>35</v>
      </c>
      <c r="D36" s="340" t="s">
        <v>34</v>
      </c>
      <c r="E36" s="342" t="s">
        <v>37</v>
      </c>
      <c r="F36" s="343"/>
      <c r="G36" s="331" t="s">
        <v>28</v>
      </c>
      <c r="H36" s="332"/>
      <c r="I36" s="331" t="s">
        <v>46</v>
      </c>
      <c r="J36" s="332"/>
      <c r="K36" s="331" t="s">
        <v>51</v>
      </c>
      <c r="L36" s="332"/>
      <c r="M36" s="30"/>
      <c r="N36" s="31"/>
      <c r="O36" s="331" t="s">
        <v>84</v>
      </c>
      <c r="P36" s="332"/>
      <c r="Q36" s="331">
        <v>4</v>
      </c>
      <c r="R36" s="332"/>
      <c r="S36" s="331">
        <v>5</v>
      </c>
      <c r="T36" s="332"/>
      <c r="U36" s="331">
        <v>6</v>
      </c>
      <c r="V36" s="332"/>
      <c r="W36" s="331">
        <v>7</v>
      </c>
      <c r="X36" s="332"/>
    </row>
    <row r="37" spans="2:24" ht="15" customHeight="1" thickBot="1" x14ac:dyDescent="0.3">
      <c r="B37" s="337"/>
      <c r="C37" s="339"/>
      <c r="D37" s="341"/>
      <c r="E37" s="29" t="s">
        <v>11</v>
      </c>
      <c r="F37" s="28" t="s">
        <v>68</v>
      </c>
      <c r="G37" s="26" t="s">
        <v>11</v>
      </c>
      <c r="H37" s="27" t="s">
        <v>68</v>
      </c>
      <c r="I37" s="26" t="s">
        <v>11</v>
      </c>
      <c r="J37" s="27" t="s">
        <v>68</v>
      </c>
      <c r="K37" s="26" t="s">
        <v>11</v>
      </c>
      <c r="L37" s="27" t="s">
        <v>68</v>
      </c>
      <c r="M37" s="30"/>
      <c r="N37" s="31"/>
      <c r="O37" s="26" t="s">
        <v>11</v>
      </c>
      <c r="P37" s="27" t="s">
        <v>68</v>
      </c>
      <c r="Q37" s="26" t="s">
        <v>11</v>
      </c>
      <c r="R37" s="27" t="s">
        <v>68</v>
      </c>
      <c r="S37" s="26" t="s">
        <v>11</v>
      </c>
      <c r="T37" s="27" t="s">
        <v>68</v>
      </c>
      <c r="U37" s="26" t="s">
        <v>11</v>
      </c>
      <c r="V37" s="27" t="s">
        <v>68</v>
      </c>
      <c r="W37" s="26" t="s">
        <v>11</v>
      </c>
      <c r="X37" s="27" t="s">
        <v>68</v>
      </c>
    </row>
    <row r="38" spans="2:24" ht="15" customHeight="1" x14ac:dyDescent="0.25">
      <c r="B38" s="58" t="s">
        <v>10</v>
      </c>
      <c r="C38" s="10">
        <v>15</v>
      </c>
      <c r="D38" s="21">
        <v>30</v>
      </c>
      <c r="E38" s="25"/>
      <c r="F38" s="16">
        <f>E38*C38</f>
        <v>0</v>
      </c>
      <c r="G38" s="25"/>
      <c r="H38" s="16">
        <f>G38*C38</f>
        <v>0</v>
      </c>
      <c r="I38" s="25"/>
      <c r="J38" s="16">
        <f>I38*C38</f>
        <v>0</v>
      </c>
      <c r="K38" s="25"/>
      <c r="L38" s="16">
        <f>K38*C38</f>
        <v>0</v>
      </c>
      <c r="M38" s="32"/>
      <c r="N38" s="31"/>
      <c r="O38" s="25"/>
      <c r="P38" s="16">
        <f>O38*C38</f>
        <v>0</v>
      </c>
      <c r="Q38" s="25"/>
      <c r="R38" s="16">
        <f>Q38*C38</f>
        <v>0</v>
      </c>
      <c r="S38" s="25"/>
      <c r="T38" s="16">
        <f>S38*C38</f>
        <v>0</v>
      </c>
      <c r="U38" s="25"/>
      <c r="V38" s="16">
        <f>U38*C38</f>
        <v>0</v>
      </c>
      <c r="W38" s="25"/>
      <c r="X38" s="16">
        <f>W38*C38</f>
        <v>0</v>
      </c>
    </row>
    <row r="39" spans="2:24" ht="15" customHeight="1" x14ac:dyDescent="0.25">
      <c r="B39" s="59" t="s">
        <v>9</v>
      </c>
      <c r="C39" s="5">
        <v>14</v>
      </c>
      <c r="D39" s="22">
        <v>30</v>
      </c>
      <c r="E39" s="25"/>
      <c r="F39" s="16">
        <f t="shared" ref="F39:F65" si="5">E39*C39</f>
        <v>0</v>
      </c>
      <c r="G39" s="25"/>
      <c r="H39" s="16">
        <f t="shared" ref="H39:H65" si="6">G39*C39</f>
        <v>0</v>
      </c>
      <c r="I39" s="25"/>
      <c r="J39" s="16">
        <f t="shared" ref="J39:J65" si="7">I39*C39</f>
        <v>0</v>
      </c>
      <c r="K39" s="25"/>
      <c r="L39" s="16">
        <f t="shared" ref="L39:L65" si="8">K39*C39</f>
        <v>0</v>
      </c>
      <c r="M39" s="32"/>
      <c r="N39" s="31"/>
      <c r="O39" s="25"/>
      <c r="P39" s="16">
        <f t="shared" ref="P39:P65" si="9">O39*C39</f>
        <v>0</v>
      </c>
      <c r="Q39" s="25"/>
      <c r="R39" s="16">
        <f t="shared" ref="R39:R65" si="10">Q39*C39</f>
        <v>0</v>
      </c>
      <c r="S39" s="25"/>
      <c r="T39" s="16">
        <f t="shared" ref="T39:T65" si="11">S39*C39</f>
        <v>0</v>
      </c>
      <c r="U39" s="25"/>
      <c r="V39" s="16">
        <f t="shared" ref="V39:V65" si="12">U39*C39</f>
        <v>0</v>
      </c>
      <c r="W39" s="25"/>
      <c r="X39" s="16">
        <f t="shared" ref="X39:X65" si="13">W39*C39</f>
        <v>0</v>
      </c>
    </row>
    <row r="40" spans="2:24" ht="15" customHeight="1" x14ac:dyDescent="0.25">
      <c r="B40" s="59" t="s">
        <v>7</v>
      </c>
      <c r="C40" s="5">
        <v>17</v>
      </c>
      <c r="D40" s="22">
        <v>35</v>
      </c>
      <c r="E40" s="25">
        <v>8</v>
      </c>
      <c r="F40" s="16">
        <f t="shared" si="5"/>
        <v>136</v>
      </c>
      <c r="G40" s="25"/>
      <c r="H40" s="16">
        <f t="shared" si="6"/>
        <v>0</v>
      </c>
      <c r="I40" s="25"/>
      <c r="J40" s="16">
        <f t="shared" si="7"/>
        <v>0</v>
      </c>
      <c r="K40" s="25"/>
      <c r="L40" s="16">
        <f t="shared" si="8"/>
        <v>0</v>
      </c>
      <c r="M40" s="32"/>
      <c r="N40" s="31"/>
      <c r="O40" s="25"/>
      <c r="P40" s="16">
        <f t="shared" si="9"/>
        <v>0</v>
      </c>
      <c r="Q40" s="25"/>
      <c r="R40" s="16">
        <f t="shared" si="10"/>
        <v>0</v>
      </c>
      <c r="S40" s="25"/>
      <c r="T40" s="16">
        <f t="shared" si="11"/>
        <v>0</v>
      </c>
      <c r="U40" s="25"/>
      <c r="V40" s="16">
        <f t="shared" si="12"/>
        <v>0</v>
      </c>
      <c r="W40" s="25"/>
      <c r="X40" s="16">
        <f t="shared" si="13"/>
        <v>0</v>
      </c>
    </row>
    <row r="41" spans="2:24" ht="15" customHeight="1" x14ac:dyDescent="0.25">
      <c r="B41" s="59" t="s">
        <v>8</v>
      </c>
      <c r="C41" s="5">
        <v>17</v>
      </c>
      <c r="D41" s="22">
        <v>35</v>
      </c>
      <c r="E41" s="25"/>
      <c r="F41" s="16">
        <v>1</v>
      </c>
      <c r="G41" s="25"/>
      <c r="H41" s="16">
        <f t="shared" si="6"/>
        <v>0</v>
      </c>
      <c r="I41" s="25"/>
      <c r="J41" s="16">
        <f t="shared" si="7"/>
        <v>0</v>
      </c>
      <c r="K41" s="25"/>
      <c r="L41" s="16">
        <f t="shared" si="8"/>
        <v>0</v>
      </c>
      <c r="M41" s="32"/>
      <c r="N41" s="31"/>
      <c r="O41" s="25"/>
      <c r="P41" s="16">
        <f t="shared" si="9"/>
        <v>0</v>
      </c>
      <c r="Q41" s="25"/>
      <c r="R41" s="16">
        <f t="shared" si="10"/>
        <v>0</v>
      </c>
      <c r="S41" s="25"/>
      <c r="T41" s="16">
        <f t="shared" si="11"/>
        <v>0</v>
      </c>
      <c r="U41" s="25"/>
      <c r="V41" s="16">
        <f t="shared" si="12"/>
        <v>0</v>
      </c>
      <c r="W41" s="25"/>
      <c r="X41" s="16">
        <f t="shared" si="13"/>
        <v>0</v>
      </c>
    </row>
    <row r="42" spans="2:24" ht="15" customHeight="1" x14ac:dyDescent="0.25">
      <c r="B42" s="59" t="s">
        <v>6</v>
      </c>
      <c r="C42" s="5">
        <v>37</v>
      </c>
      <c r="D42" s="22">
        <v>70</v>
      </c>
      <c r="E42" s="25"/>
      <c r="F42" s="16">
        <f t="shared" si="5"/>
        <v>0</v>
      </c>
      <c r="G42" s="25"/>
      <c r="H42" s="16">
        <f t="shared" si="6"/>
        <v>0</v>
      </c>
      <c r="I42" s="25">
        <v>2</v>
      </c>
      <c r="J42" s="16">
        <f t="shared" si="7"/>
        <v>74</v>
      </c>
      <c r="K42" s="25"/>
      <c r="L42" s="16">
        <f t="shared" si="8"/>
        <v>0</v>
      </c>
      <c r="M42" s="32"/>
      <c r="N42" s="31"/>
      <c r="O42" s="25"/>
      <c r="P42" s="16">
        <f t="shared" si="9"/>
        <v>0</v>
      </c>
      <c r="Q42" s="25"/>
      <c r="R42" s="16">
        <f t="shared" si="10"/>
        <v>0</v>
      </c>
      <c r="S42" s="25"/>
      <c r="T42" s="16">
        <f t="shared" si="11"/>
        <v>0</v>
      </c>
      <c r="U42" s="25"/>
      <c r="V42" s="16">
        <f t="shared" si="12"/>
        <v>0</v>
      </c>
      <c r="W42" s="25"/>
      <c r="X42" s="16">
        <f t="shared" si="13"/>
        <v>0</v>
      </c>
    </row>
    <row r="43" spans="2:24" ht="15" customHeight="1" x14ac:dyDescent="0.25">
      <c r="B43" s="59" t="s">
        <v>5</v>
      </c>
      <c r="C43" s="5">
        <v>35</v>
      </c>
      <c r="D43" s="22">
        <v>60</v>
      </c>
      <c r="E43" s="25"/>
      <c r="F43" s="16">
        <f t="shared" si="5"/>
        <v>0</v>
      </c>
      <c r="G43" s="25"/>
      <c r="H43" s="16">
        <f t="shared" si="6"/>
        <v>0</v>
      </c>
      <c r="I43" s="25"/>
      <c r="J43" s="16">
        <f t="shared" si="7"/>
        <v>0</v>
      </c>
      <c r="K43" s="25"/>
      <c r="L43" s="16">
        <f t="shared" si="8"/>
        <v>0</v>
      </c>
      <c r="M43" s="32"/>
      <c r="N43" s="31"/>
      <c r="O43" s="25"/>
      <c r="P43" s="16">
        <f t="shared" si="9"/>
        <v>0</v>
      </c>
      <c r="Q43" s="25"/>
      <c r="R43" s="16">
        <f t="shared" si="10"/>
        <v>0</v>
      </c>
      <c r="S43" s="25"/>
      <c r="T43" s="16">
        <f t="shared" si="11"/>
        <v>0</v>
      </c>
      <c r="U43" s="25"/>
      <c r="V43" s="16">
        <f t="shared" si="12"/>
        <v>0</v>
      </c>
      <c r="W43" s="25"/>
      <c r="X43" s="16">
        <f t="shared" si="13"/>
        <v>0</v>
      </c>
    </row>
    <row r="44" spans="2:24" ht="15" customHeight="1" x14ac:dyDescent="0.25">
      <c r="B44" s="59" t="s">
        <v>4</v>
      </c>
      <c r="C44" s="5">
        <v>35</v>
      </c>
      <c r="D44" s="22">
        <v>60</v>
      </c>
      <c r="E44" s="25">
        <v>1</v>
      </c>
      <c r="F44" s="16">
        <f t="shared" si="5"/>
        <v>35</v>
      </c>
      <c r="G44" s="25"/>
      <c r="H44" s="16">
        <f t="shared" si="6"/>
        <v>0</v>
      </c>
      <c r="I44" s="25"/>
      <c r="J44" s="16">
        <f t="shared" si="7"/>
        <v>0</v>
      </c>
      <c r="K44" s="25"/>
      <c r="L44" s="16">
        <f t="shared" si="8"/>
        <v>0</v>
      </c>
      <c r="M44" s="32"/>
      <c r="N44" s="31"/>
      <c r="O44" s="25"/>
      <c r="P44" s="16">
        <f t="shared" si="9"/>
        <v>0</v>
      </c>
      <c r="Q44" s="25"/>
      <c r="R44" s="16">
        <f t="shared" si="10"/>
        <v>0</v>
      </c>
      <c r="S44" s="25"/>
      <c r="T44" s="16">
        <f t="shared" si="11"/>
        <v>0</v>
      </c>
      <c r="U44" s="25"/>
      <c r="V44" s="16">
        <f t="shared" si="12"/>
        <v>0</v>
      </c>
      <c r="W44" s="25"/>
      <c r="X44" s="16">
        <f t="shared" si="13"/>
        <v>0</v>
      </c>
    </row>
    <row r="45" spans="2:24" ht="15" customHeight="1" x14ac:dyDescent="0.25">
      <c r="B45" s="59" t="s">
        <v>2</v>
      </c>
      <c r="C45" s="5">
        <v>41</v>
      </c>
      <c r="D45" s="22">
        <v>80</v>
      </c>
      <c r="E45" s="25"/>
      <c r="F45" s="16">
        <f t="shared" si="5"/>
        <v>0</v>
      </c>
      <c r="G45" s="25"/>
      <c r="H45" s="16">
        <f t="shared" si="6"/>
        <v>0</v>
      </c>
      <c r="I45" s="25"/>
      <c r="J45" s="16">
        <f t="shared" si="7"/>
        <v>0</v>
      </c>
      <c r="K45" s="25"/>
      <c r="L45" s="16">
        <f t="shared" si="8"/>
        <v>0</v>
      </c>
      <c r="M45" s="32"/>
      <c r="N45" s="31"/>
      <c r="O45" s="25"/>
      <c r="P45" s="16">
        <f t="shared" si="9"/>
        <v>0</v>
      </c>
      <c r="Q45" s="25"/>
      <c r="R45" s="16">
        <f t="shared" si="10"/>
        <v>0</v>
      </c>
      <c r="S45" s="25"/>
      <c r="T45" s="16">
        <f t="shared" si="11"/>
        <v>0</v>
      </c>
      <c r="U45" s="25"/>
      <c r="V45" s="16">
        <f t="shared" si="12"/>
        <v>0</v>
      </c>
      <c r="W45" s="25"/>
      <c r="X45" s="16">
        <f t="shared" si="13"/>
        <v>0</v>
      </c>
    </row>
    <row r="46" spans="2:24" ht="15" customHeight="1" x14ac:dyDescent="0.25">
      <c r="B46" s="59" t="s">
        <v>3</v>
      </c>
      <c r="C46" s="5">
        <v>41</v>
      </c>
      <c r="D46" s="22">
        <v>80</v>
      </c>
      <c r="E46" s="25"/>
      <c r="F46" s="16">
        <f t="shared" si="5"/>
        <v>0</v>
      </c>
      <c r="G46" s="25"/>
      <c r="H46" s="16">
        <f t="shared" si="6"/>
        <v>0</v>
      </c>
      <c r="I46" s="25"/>
      <c r="J46" s="16">
        <f t="shared" si="7"/>
        <v>0</v>
      </c>
      <c r="K46" s="25"/>
      <c r="L46" s="16">
        <f t="shared" si="8"/>
        <v>0</v>
      </c>
      <c r="M46" s="32"/>
      <c r="N46" s="31"/>
      <c r="O46" s="25"/>
      <c r="P46" s="16">
        <f t="shared" si="9"/>
        <v>0</v>
      </c>
      <c r="Q46" s="25"/>
      <c r="R46" s="16">
        <f t="shared" si="10"/>
        <v>0</v>
      </c>
      <c r="S46" s="25"/>
      <c r="T46" s="16">
        <f t="shared" si="11"/>
        <v>0</v>
      </c>
      <c r="U46" s="25"/>
      <c r="V46" s="16">
        <f t="shared" si="12"/>
        <v>0</v>
      </c>
      <c r="W46" s="25"/>
      <c r="X46" s="16">
        <f t="shared" si="13"/>
        <v>0</v>
      </c>
    </row>
    <row r="47" spans="2:24" ht="15" customHeight="1" x14ac:dyDescent="0.25">
      <c r="B47" s="60" t="s">
        <v>14</v>
      </c>
      <c r="C47" s="9">
        <v>6</v>
      </c>
      <c r="D47" s="23">
        <v>10</v>
      </c>
      <c r="E47" s="25"/>
      <c r="F47" s="16">
        <f t="shared" si="5"/>
        <v>0</v>
      </c>
      <c r="G47" s="25"/>
      <c r="H47" s="16">
        <f t="shared" si="6"/>
        <v>0</v>
      </c>
      <c r="I47" s="25"/>
      <c r="J47" s="16">
        <f t="shared" si="7"/>
        <v>0</v>
      </c>
      <c r="K47" s="25"/>
      <c r="L47" s="16">
        <f t="shared" si="8"/>
        <v>0</v>
      </c>
      <c r="M47" s="32"/>
      <c r="N47" s="31"/>
      <c r="O47" s="25"/>
      <c r="P47" s="16">
        <f t="shared" si="9"/>
        <v>0</v>
      </c>
      <c r="Q47" s="25"/>
      <c r="R47" s="16">
        <f t="shared" si="10"/>
        <v>0</v>
      </c>
      <c r="S47" s="25"/>
      <c r="T47" s="16">
        <f t="shared" si="11"/>
        <v>0</v>
      </c>
      <c r="U47" s="25"/>
      <c r="V47" s="16">
        <f t="shared" si="12"/>
        <v>0</v>
      </c>
      <c r="W47" s="25"/>
      <c r="X47" s="16">
        <f t="shared" si="13"/>
        <v>0</v>
      </c>
    </row>
    <row r="48" spans="2:24" ht="15" customHeight="1" x14ac:dyDescent="0.25">
      <c r="B48" s="60" t="s">
        <v>48</v>
      </c>
      <c r="C48" s="9">
        <v>13</v>
      </c>
      <c r="D48" s="23">
        <v>25</v>
      </c>
      <c r="E48" s="25"/>
      <c r="F48" s="16">
        <f t="shared" si="5"/>
        <v>0</v>
      </c>
      <c r="G48" s="25"/>
      <c r="H48" s="16">
        <f t="shared" si="6"/>
        <v>0</v>
      </c>
      <c r="I48" s="25"/>
      <c r="J48" s="16">
        <f t="shared" si="7"/>
        <v>0</v>
      </c>
      <c r="K48" s="25"/>
      <c r="L48" s="16">
        <f t="shared" si="8"/>
        <v>0</v>
      </c>
      <c r="M48" s="32"/>
      <c r="N48" s="31"/>
      <c r="O48" s="25"/>
      <c r="P48" s="16">
        <f t="shared" si="9"/>
        <v>0</v>
      </c>
      <c r="Q48" s="25"/>
      <c r="R48" s="16">
        <f t="shared" si="10"/>
        <v>0</v>
      </c>
      <c r="S48" s="25"/>
      <c r="T48" s="16">
        <f t="shared" si="11"/>
        <v>0</v>
      </c>
      <c r="U48" s="25"/>
      <c r="V48" s="16">
        <f t="shared" si="12"/>
        <v>0</v>
      </c>
      <c r="W48" s="25"/>
      <c r="X48" s="16">
        <f t="shared" si="13"/>
        <v>0</v>
      </c>
    </row>
    <row r="49" spans="2:24" ht="15" customHeight="1" x14ac:dyDescent="0.25">
      <c r="B49" s="60" t="s">
        <v>17</v>
      </c>
      <c r="C49" s="9">
        <v>11</v>
      </c>
      <c r="D49" s="23">
        <v>35</v>
      </c>
      <c r="E49" s="25"/>
      <c r="F49" s="16">
        <f t="shared" si="5"/>
        <v>0</v>
      </c>
      <c r="G49" s="25"/>
      <c r="H49" s="16">
        <f t="shared" si="6"/>
        <v>0</v>
      </c>
      <c r="I49" s="25"/>
      <c r="J49" s="16">
        <f t="shared" si="7"/>
        <v>0</v>
      </c>
      <c r="K49" s="25"/>
      <c r="L49" s="16">
        <f t="shared" si="8"/>
        <v>0</v>
      </c>
      <c r="M49" s="32"/>
      <c r="N49" s="31"/>
      <c r="O49" s="25"/>
      <c r="P49" s="16">
        <f t="shared" si="9"/>
        <v>0</v>
      </c>
      <c r="Q49" s="25"/>
      <c r="R49" s="16">
        <f t="shared" si="10"/>
        <v>0</v>
      </c>
      <c r="S49" s="25"/>
      <c r="T49" s="16">
        <f t="shared" si="11"/>
        <v>0</v>
      </c>
      <c r="U49" s="25"/>
      <c r="V49" s="16">
        <f t="shared" si="12"/>
        <v>0</v>
      </c>
      <c r="W49" s="25"/>
      <c r="X49" s="16">
        <f t="shared" si="13"/>
        <v>0</v>
      </c>
    </row>
    <row r="50" spans="2:24" ht="15" customHeight="1" x14ac:dyDescent="0.25">
      <c r="B50" s="60" t="s">
        <v>18</v>
      </c>
      <c r="C50" s="9">
        <v>10</v>
      </c>
      <c r="D50" s="23">
        <v>15</v>
      </c>
      <c r="E50" s="25"/>
      <c r="F50" s="16">
        <f t="shared" si="5"/>
        <v>0</v>
      </c>
      <c r="G50" s="25"/>
      <c r="H50" s="16">
        <f t="shared" si="6"/>
        <v>0</v>
      </c>
      <c r="I50" s="25"/>
      <c r="J50" s="16">
        <f t="shared" si="7"/>
        <v>0</v>
      </c>
      <c r="K50" s="25"/>
      <c r="L50" s="16">
        <f t="shared" si="8"/>
        <v>0</v>
      </c>
      <c r="M50" s="32"/>
      <c r="N50" s="31"/>
      <c r="O50" s="25"/>
      <c r="P50" s="16">
        <f t="shared" si="9"/>
        <v>0</v>
      </c>
      <c r="Q50" s="25"/>
      <c r="R50" s="16">
        <f t="shared" si="10"/>
        <v>0</v>
      </c>
      <c r="S50" s="25"/>
      <c r="T50" s="16">
        <f t="shared" si="11"/>
        <v>0</v>
      </c>
      <c r="U50" s="25"/>
      <c r="V50" s="16">
        <f t="shared" si="12"/>
        <v>0</v>
      </c>
      <c r="W50" s="25"/>
      <c r="X50" s="16">
        <f t="shared" si="13"/>
        <v>0</v>
      </c>
    </row>
    <row r="51" spans="2:24" ht="15" customHeight="1" x14ac:dyDescent="0.25">
      <c r="B51" s="61" t="s">
        <v>50</v>
      </c>
      <c r="C51" s="4">
        <v>14.8</v>
      </c>
      <c r="D51" s="23">
        <v>35</v>
      </c>
      <c r="E51" s="25"/>
      <c r="F51" s="16">
        <f t="shared" si="5"/>
        <v>0</v>
      </c>
      <c r="G51" s="25"/>
      <c r="H51" s="16">
        <f t="shared" si="6"/>
        <v>0</v>
      </c>
      <c r="I51" s="25"/>
      <c r="J51" s="16">
        <f t="shared" si="7"/>
        <v>0</v>
      </c>
      <c r="K51" s="25"/>
      <c r="L51" s="16">
        <f t="shared" si="8"/>
        <v>0</v>
      </c>
      <c r="M51" s="32"/>
      <c r="N51" s="31"/>
      <c r="O51" s="25"/>
      <c r="P51" s="16">
        <f t="shared" si="9"/>
        <v>0</v>
      </c>
      <c r="Q51" s="25"/>
      <c r="R51" s="16">
        <f t="shared" si="10"/>
        <v>0</v>
      </c>
      <c r="S51" s="25"/>
      <c r="T51" s="16">
        <f t="shared" si="11"/>
        <v>0</v>
      </c>
      <c r="U51" s="25"/>
      <c r="V51" s="16">
        <f t="shared" si="12"/>
        <v>0</v>
      </c>
      <c r="W51" s="25"/>
      <c r="X51" s="16">
        <f t="shared" si="13"/>
        <v>0</v>
      </c>
    </row>
    <row r="52" spans="2:24" ht="15" customHeight="1" x14ac:dyDescent="0.25">
      <c r="B52" s="60" t="s">
        <v>15</v>
      </c>
      <c r="C52" s="9">
        <v>13</v>
      </c>
      <c r="D52" s="23">
        <v>20</v>
      </c>
      <c r="E52" s="25"/>
      <c r="F52" s="16">
        <f t="shared" si="5"/>
        <v>0</v>
      </c>
      <c r="G52" s="25">
        <v>1</v>
      </c>
      <c r="H52" s="16">
        <f t="shared" si="6"/>
        <v>13</v>
      </c>
      <c r="I52" s="25"/>
      <c r="J52" s="16">
        <f t="shared" si="7"/>
        <v>0</v>
      </c>
      <c r="K52" s="25"/>
      <c r="L52" s="16">
        <f t="shared" si="8"/>
        <v>0</v>
      </c>
      <c r="M52" s="32"/>
      <c r="N52" s="31"/>
      <c r="O52" s="25"/>
      <c r="P52" s="16">
        <f t="shared" si="9"/>
        <v>0</v>
      </c>
      <c r="Q52" s="25"/>
      <c r="R52" s="16">
        <f t="shared" si="10"/>
        <v>0</v>
      </c>
      <c r="S52" s="25"/>
      <c r="T52" s="16">
        <f t="shared" si="11"/>
        <v>0</v>
      </c>
      <c r="U52" s="25"/>
      <c r="V52" s="16">
        <f t="shared" si="12"/>
        <v>0</v>
      </c>
      <c r="W52" s="25"/>
      <c r="X52" s="16">
        <f t="shared" si="13"/>
        <v>0</v>
      </c>
    </row>
    <row r="53" spans="2:24" ht="15" customHeight="1" x14ac:dyDescent="0.25">
      <c r="B53" s="60" t="s">
        <v>16</v>
      </c>
      <c r="C53" s="9">
        <v>11</v>
      </c>
      <c r="D53" s="23">
        <v>20</v>
      </c>
      <c r="E53" s="25"/>
      <c r="F53" s="16">
        <f t="shared" si="5"/>
        <v>0</v>
      </c>
      <c r="G53" s="25"/>
      <c r="H53" s="16">
        <f t="shared" si="6"/>
        <v>0</v>
      </c>
      <c r="I53" s="25"/>
      <c r="J53" s="16">
        <f t="shared" si="7"/>
        <v>0</v>
      </c>
      <c r="K53" s="25"/>
      <c r="L53" s="16">
        <f t="shared" si="8"/>
        <v>0</v>
      </c>
      <c r="M53" s="32"/>
      <c r="N53" s="31"/>
      <c r="O53" s="25"/>
      <c r="P53" s="16">
        <f t="shared" si="9"/>
        <v>0</v>
      </c>
      <c r="Q53" s="25"/>
      <c r="R53" s="16">
        <f t="shared" si="10"/>
        <v>0</v>
      </c>
      <c r="S53" s="25"/>
      <c r="T53" s="16">
        <f t="shared" si="11"/>
        <v>0</v>
      </c>
      <c r="U53" s="25"/>
      <c r="V53" s="16">
        <f t="shared" si="12"/>
        <v>0</v>
      </c>
      <c r="W53" s="25"/>
      <c r="X53" s="16">
        <f t="shared" si="13"/>
        <v>0</v>
      </c>
    </row>
    <row r="54" spans="2:24" ht="15" customHeight="1" x14ac:dyDescent="0.25">
      <c r="B54" s="60" t="s">
        <v>22</v>
      </c>
      <c r="C54" s="9">
        <v>10</v>
      </c>
      <c r="D54" s="23">
        <v>20</v>
      </c>
      <c r="E54" s="25"/>
      <c r="F54" s="16">
        <f t="shared" si="5"/>
        <v>0</v>
      </c>
      <c r="G54" s="25"/>
      <c r="H54" s="16">
        <f t="shared" si="6"/>
        <v>0</v>
      </c>
      <c r="I54" s="25"/>
      <c r="J54" s="16">
        <f t="shared" si="7"/>
        <v>0</v>
      </c>
      <c r="K54" s="25"/>
      <c r="L54" s="16">
        <f t="shared" si="8"/>
        <v>0</v>
      </c>
      <c r="M54" s="32"/>
      <c r="N54" s="31"/>
      <c r="O54" s="25"/>
      <c r="P54" s="16">
        <f t="shared" si="9"/>
        <v>0</v>
      </c>
      <c r="Q54" s="25"/>
      <c r="R54" s="16">
        <f t="shared" si="10"/>
        <v>0</v>
      </c>
      <c r="S54" s="25"/>
      <c r="T54" s="16">
        <f t="shared" si="11"/>
        <v>0</v>
      </c>
      <c r="U54" s="25"/>
      <c r="V54" s="16">
        <f t="shared" si="12"/>
        <v>0</v>
      </c>
      <c r="W54" s="25"/>
      <c r="X54" s="16">
        <f t="shared" si="13"/>
        <v>0</v>
      </c>
    </row>
    <row r="55" spans="2:24" ht="15" customHeight="1" x14ac:dyDescent="0.25">
      <c r="B55" s="60" t="s">
        <v>32</v>
      </c>
      <c r="C55" s="9">
        <v>40</v>
      </c>
      <c r="D55" s="23">
        <v>60</v>
      </c>
      <c r="E55" s="25"/>
      <c r="F55" s="16">
        <f t="shared" si="5"/>
        <v>0</v>
      </c>
      <c r="G55" s="25"/>
      <c r="H55" s="16">
        <f t="shared" si="6"/>
        <v>0</v>
      </c>
      <c r="I55" s="25"/>
      <c r="J55" s="16">
        <f t="shared" si="7"/>
        <v>0</v>
      </c>
      <c r="K55" s="25"/>
      <c r="L55" s="16">
        <f t="shared" si="8"/>
        <v>0</v>
      </c>
      <c r="M55" s="32"/>
      <c r="N55" s="31"/>
      <c r="O55" s="25"/>
      <c r="P55" s="16">
        <f t="shared" si="9"/>
        <v>0</v>
      </c>
      <c r="Q55" s="25"/>
      <c r="R55" s="16">
        <f t="shared" si="10"/>
        <v>0</v>
      </c>
      <c r="S55" s="25"/>
      <c r="T55" s="16">
        <f t="shared" si="11"/>
        <v>0</v>
      </c>
      <c r="U55" s="25"/>
      <c r="V55" s="16">
        <f t="shared" si="12"/>
        <v>0</v>
      </c>
      <c r="W55" s="25"/>
      <c r="X55" s="16">
        <f t="shared" si="13"/>
        <v>0</v>
      </c>
    </row>
    <row r="56" spans="2:24" ht="15" customHeight="1" x14ac:dyDescent="0.25">
      <c r="B56" s="60" t="s">
        <v>67</v>
      </c>
      <c r="C56" s="9">
        <v>25</v>
      </c>
      <c r="D56" s="23">
        <v>45</v>
      </c>
      <c r="E56" s="25"/>
      <c r="F56" s="16">
        <f t="shared" si="5"/>
        <v>0</v>
      </c>
      <c r="G56" s="25"/>
      <c r="H56" s="16">
        <f t="shared" si="6"/>
        <v>0</v>
      </c>
      <c r="I56" s="25"/>
      <c r="J56" s="16">
        <f t="shared" si="7"/>
        <v>0</v>
      </c>
      <c r="K56" s="25"/>
      <c r="L56" s="16">
        <f t="shared" si="8"/>
        <v>0</v>
      </c>
      <c r="M56" s="32"/>
      <c r="N56" s="31"/>
      <c r="O56" s="25"/>
      <c r="P56" s="16">
        <f t="shared" si="9"/>
        <v>0</v>
      </c>
      <c r="Q56" s="25"/>
      <c r="R56" s="16">
        <f t="shared" si="10"/>
        <v>0</v>
      </c>
      <c r="S56" s="25"/>
      <c r="T56" s="16">
        <f t="shared" si="11"/>
        <v>0</v>
      </c>
      <c r="U56" s="25"/>
      <c r="V56" s="16">
        <f t="shared" si="12"/>
        <v>0</v>
      </c>
      <c r="W56" s="25"/>
      <c r="X56" s="16">
        <f t="shared" si="13"/>
        <v>0</v>
      </c>
    </row>
    <row r="57" spans="2:24" ht="15" customHeight="1" x14ac:dyDescent="0.25">
      <c r="B57" s="60" t="s">
        <v>66</v>
      </c>
      <c r="C57" s="9">
        <v>25</v>
      </c>
      <c r="D57" s="23">
        <v>45</v>
      </c>
      <c r="E57" s="25"/>
      <c r="F57" s="16">
        <f t="shared" si="5"/>
        <v>0</v>
      </c>
      <c r="G57" s="25"/>
      <c r="H57" s="16">
        <f t="shared" si="6"/>
        <v>0</v>
      </c>
      <c r="I57" s="25"/>
      <c r="J57" s="16">
        <f t="shared" si="7"/>
        <v>0</v>
      </c>
      <c r="K57" s="25"/>
      <c r="L57" s="16">
        <f t="shared" si="8"/>
        <v>0</v>
      </c>
      <c r="M57" s="32"/>
      <c r="N57" s="31"/>
      <c r="O57" s="25"/>
      <c r="P57" s="16">
        <f t="shared" si="9"/>
        <v>0</v>
      </c>
      <c r="Q57" s="25"/>
      <c r="R57" s="16">
        <f t="shared" si="10"/>
        <v>0</v>
      </c>
      <c r="S57" s="25"/>
      <c r="T57" s="16">
        <f t="shared" si="11"/>
        <v>0</v>
      </c>
      <c r="U57" s="25"/>
      <c r="V57" s="16">
        <f t="shared" si="12"/>
        <v>0</v>
      </c>
      <c r="W57" s="25"/>
      <c r="X57" s="16">
        <f t="shared" si="13"/>
        <v>0</v>
      </c>
    </row>
    <row r="58" spans="2:24" ht="15" customHeight="1" x14ac:dyDescent="0.25">
      <c r="B58" s="60" t="s">
        <v>25</v>
      </c>
      <c r="C58" s="9">
        <v>27</v>
      </c>
      <c r="D58" s="23">
        <v>45</v>
      </c>
      <c r="E58" s="25"/>
      <c r="F58" s="16">
        <f t="shared" si="5"/>
        <v>0</v>
      </c>
      <c r="G58" s="25"/>
      <c r="H58" s="16">
        <f t="shared" si="6"/>
        <v>0</v>
      </c>
      <c r="I58" s="25"/>
      <c r="J58" s="16">
        <f t="shared" si="7"/>
        <v>0</v>
      </c>
      <c r="K58" s="25"/>
      <c r="L58" s="16">
        <f t="shared" si="8"/>
        <v>0</v>
      </c>
      <c r="M58" s="32"/>
      <c r="N58" s="31"/>
      <c r="O58" s="25"/>
      <c r="P58" s="16">
        <f t="shared" si="9"/>
        <v>0</v>
      </c>
      <c r="Q58" s="25"/>
      <c r="R58" s="16">
        <f t="shared" si="10"/>
        <v>0</v>
      </c>
      <c r="S58" s="25"/>
      <c r="T58" s="16">
        <f t="shared" si="11"/>
        <v>0</v>
      </c>
      <c r="U58" s="25"/>
      <c r="V58" s="16">
        <f t="shared" si="12"/>
        <v>0</v>
      </c>
      <c r="W58" s="25"/>
      <c r="X58" s="16">
        <f t="shared" si="13"/>
        <v>0</v>
      </c>
    </row>
    <row r="59" spans="2:24" ht="15" customHeight="1" x14ac:dyDescent="0.25">
      <c r="B59" s="60" t="s">
        <v>20</v>
      </c>
      <c r="C59" s="9">
        <v>14</v>
      </c>
      <c r="D59" s="23">
        <v>35</v>
      </c>
      <c r="E59" s="25"/>
      <c r="F59" s="16">
        <f t="shared" si="5"/>
        <v>0</v>
      </c>
      <c r="G59" s="25"/>
      <c r="H59" s="16">
        <f t="shared" si="6"/>
        <v>0</v>
      </c>
      <c r="I59" s="25"/>
      <c r="J59" s="16">
        <f t="shared" si="7"/>
        <v>0</v>
      </c>
      <c r="K59" s="25"/>
      <c r="L59" s="16">
        <f t="shared" si="8"/>
        <v>0</v>
      </c>
      <c r="M59" s="32"/>
      <c r="N59" s="31"/>
      <c r="O59" s="25"/>
      <c r="P59" s="16">
        <f t="shared" si="9"/>
        <v>0</v>
      </c>
      <c r="Q59" s="25"/>
      <c r="R59" s="16">
        <f t="shared" si="10"/>
        <v>0</v>
      </c>
      <c r="S59" s="25"/>
      <c r="T59" s="16">
        <f t="shared" si="11"/>
        <v>0</v>
      </c>
      <c r="U59" s="25"/>
      <c r="V59" s="16">
        <f t="shared" si="12"/>
        <v>0</v>
      </c>
      <c r="W59" s="25"/>
      <c r="X59" s="16">
        <f t="shared" si="13"/>
        <v>0</v>
      </c>
    </row>
    <row r="60" spans="2:24" ht="15" customHeight="1" x14ac:dyDescent="0.25">
      <c r="B60" s="60" t="s">
        <v>19</v>
      </c>
      <c r="C60" s="9">
        <v>40</v>
      </c>
      <c r="D60" s="23">
        <v>70</v>
      </c>
      <c r="E60" s="25"/>
      <c r="F60" s="16">
        <f t="shared" si="5"/>
        <v>0</v>
      </c>
      <c r="G60" s="25"/>
      <c r="H60" s="16">
        <f t="shared" si="6"/>
        <v>0</v>
      </c>
      <c r="I60" s="25"/>
      <c r="J60" s="16">
        <f t="shared" si="7"/>
        <v>0</v>
      </c>
      <c r="K60" s="25"/>
      <c r="L60" s="16">
        <f t="shared" si="8"/>
        <v>0</v>
      </c>
      <c r="M60" s="32"/>
      <c r="N60" s="31"/>
      <c r="O60" s="25"/>
      <c r="P60" s="16">
        <f t="shared" si="9"/>
        <v>0</v>
      </c>
      <c r="Q60" s="25"/>
      <c r="R60" s="16">
        <f t="shared" si="10"/>
        <v>0</v>
      </c>
      <c r="S60" s="25"/>
      <c r="T60" s="16">
        <f t="shared" si="11"/>
        <v>0</v>
      </c>
      <c r="U60" s="25"/>
      <c r="V60" s="16">
        <f t="shared" si="12"/>
        <v>0</v>
      </c>
      <c r="W60" s="25"/>
      <c r="X60" s="16">
        <f t="shared" si="13"/>
        <v>0</v>
      </c>
    </row>
    <row r="61" spans="2:24" ht="15" customHeight="1" x14ac:dyDescent="0.25">
      <c r="B61" s="61" t="s">
        <v>49</v>
      </c>
      <c r="C61" s="11">
        <v>8</v>
      </c>
      <c r="D61" s="24">
        <v>15</v>
      </c>
      <c r="E61" s="25"/>
      <c r="F61" s="16">
        <f t="shared" si="5"/>
        <v>0</v>
      </c>
      <c r="G61" s="25"/>
      <c r="H61" s="16">
        <f t="shared" si="6"/>
        <v>0</v>
      </c>
      <c r="I61" s="25"/>
      <c r="J61" s="16">
        <f t="shared" si="7"/>
        <v>0</v>
      </c>
      <c r="K61" s="25"/>
      <c r="L61" s="16">
        <f t="shared" si="8"/>
        <v>0</v>
      </c>
      <c r="M61" s="32"/>
      <c r="N61" s="31"/>
      <c r="O61" s="25"/>
      <c r="P61" s="16">
        <f t="shared" si="9"/>
        <v>0</v>
      </c>
      <c r="Q61" s="25"/>
      <c r="R61" s="16">
        <f t="shared" si="10"/>
        <v>0</v>
      </c>
      <c r="S61" s="25"/>
      <c r="T61" s="16">
        <f t="shared" si="11"/>
        <v>0</v>
      </c>
      <c r="U61" s="25"/>
      <c r="V61" s="16">
        <f t="shared" si="12"/>
        <v>0</v>
      </c>
      <c r="W61" s="25"/>
      <c r="X61" s="16">
        <f t="shared" si="13"/>
        <v>0</v>
      </c>
    </row>
    <row r="62" spans="2:24" ht="15" customHeight="1" x14ac:dyDescent="0.25">
      <c r="B62" s="60" t="s">
        <v>44</v>
      </c>
      <c r="C62" s="9">
        <v>28</v>
      </c>
      <c r="D62" s="23">
        <v>50</v>
      </c>
      <c r="E62" s="25"/>
      <c r="F62" s="16">
        <f t="shared" si="5"/>
        <v>0</v>
      </c>
      <c r="G62" s="25"/>
      <c r="H62" s="16">
        <f t="shared" si="6"/>
        <v>0</v>
      </c>
      <c r="I62" s="25"/>
      <c r="J62" s="16">
        <f t="shared" si="7"/>
        <v>0</v>
      </c>
      <c r="K62" s="25"/>
      <c r="L62" s="16">
        <f t="shared" si="8"/>
        <v>0</v>
      </c>
      <c r="M62" s="32"/>
      <c r="N62" s="31"/>
      <c r="O62" s="25"/>
      <c r="P62" s="16">
        <f t="shared" si="9"/>
        <v>0</v>
      </c>
      <c r="Q62" s="25"/>
      <c r="R62" s="16">
        <f t="shared" si="10"/>
        <v>0</v>
      </c>
      <c r="S62" s="25"/>
      <c r="T62" s="16">
        <f t="shared" si="11"/>
        <v>0</v>
      </c>
      <c r="U62" s="25"/>
      <c r="V62" s="16">
        <f t="shared" si="12"/>
        <v>0</v>
      </c>
      <c r="W62" s="25"/>
      <c r="X62" s="16">
        <f t="shared" si="13"/>
        <v>0</v>
      </c>
    </row>
    <row r="63" spans="2:24" ht="15" customHeight="1" x14ac:dyDescent="0.25">
      <c r="B63" s="60"/>
      <c r="C63" s="9"/>
      <c r="D63" s="23"/>
      <c r="E63" s="25"/>
      <c r="F63" s="16">
        <f t="shared" si="5"/>
        <v>0</v>
      </c>
      <c r="G63" s="25"/>
      <c r="H63" s="16">
        <f t="shared" si="6"/>
        <v>0</v>
      </c>
      <c r="I63" s="25"/>
      <c r="J63" s="16">
        <f t="shared" si="7"/>
        <v>0</v>
      </c>
      <c r="K63" s="25"/>
      <c r="L63" s="16">
        <f t="shared" si="8"/>
        <v>0</v>
      </c>
      <c r="M63" s="32"/>
      <c r="N63" s="31"/>
      <c r="O63" s="25"/>
      <c r="P63" s="16">
        <f t="shared" si="9"/>
        <v>0</v>
      </c>
      <c r="Q63" s="25"/>
      <c r="R63" s="16">
        <f t="shared" si="10"/>
        <v>0</v>
      </c>
      <c r="S63" s="25"/>
      <c r="T63" s="16">
        <f t="shared" si="11"/>
        <v>0</v>
      </c>
      <c r="U63" s="25"/>
      <c r="V63" s="16">
        <f t="shared" si="12"/>
        <v>0</v>
      </c>
      <c r="W63" s="25"/>
      <c r="X63" s="16">
        <f t="shared" si="13"/>
        <v>0</v>
      </c>
    </row>
    <row r="64" spans="2:24" ht="15" customHeight="1" x14ac:dyDescent="0.25">
      <c r="B64" s="60"/>
      <c r="C64" s="9"/>
      <c r="D64" s="23"/>
      <c r="E64" s="25"/>
      <c r="F64" s="16">
        <f t="shared" si="5"/>
        <v>0</v>
      </c>
      <c r="G64" s="25"/>
      <c r="H64" s="16">
        <f t="shared" si="6"/>
        <v>0</v>
      </c>
      <c r="I64" s="25"/>
      <c r="J64" s="16">
        <f t="shared" si="7"/>
        <v>0</v>
      </c>
      <c r="K64" s="25"/>
      <c r="L64" s="16">
        <f t="shared" si="8"/>
        <v>0</v>
      </c>
      <c r="M64" s="32"/>
      <c r="N64" s="31"/>
      <c r="O64" s="25"/>
      <c r="P64" s="16">
        <f t="shared" si="9"/>
        <v>0</v>
      </c>
      <c r="Q64" s="25"/>
      <c r="R64" s="16">
        <f t="shared" si="10"/>
        <v>0</v>
      </c>
      <c r="S64" s="25"/>
      <c r="T64" s="16">
        <f t="shared" si="11"/>
        <v>0</v>
      </c>
      <c r="U64" s="25"/>
      <c r="V64" s="16">
        <f t="shared" si="12"/>
        <v>0</v>
      </c>
      <c r="W64" s="25"/>
      <c r="X64" s="16">
        <f t="shared" si="13"/>
        <v>0</v>
      </c>
    </row>
    <row r="65" spans="2:24" ht="15" customHeight="1" thickBot="1" x14ac:dyDescent="0.3">
      <c r="B65" s="60"/>
      <c r="C65" s="9"/>
      <c r="D65" s="23"/>
      <c r="E65" s="64"/>
      <c r="F65" s="65">
        <f t="shared" si="5"/>
        <v>0</v>
      </c>
      <c r="G65" s="25"/>
      <c r="H65" s="16">
        <f t="shared" si="6"/>
        <v>0</v>
      </c>
      <c r="I65" s="25"/>
      <c r="J65" s="16">
        <f t="shared" si="7"/>
        <v>0</v>
      </c>
      <c r="K65" s="25"/>
      <c r="L65" s="16">
        <f t="shared" si="8"/>
        <v>0</v>
      </c>
      <c r="M65" s="32"/>
      <c r="N65" s="31"/>
      <c r="O65" s="25"/>
      <c r="P65" s="16">
        <f t="shared" si="9"/>
        <v>0</v>
      </c>
      <c r="Q65" s="25"/>
      <c r="R65" s="16">
        <f t="shared" si="10"/>
        <v>0</v>
      </c>
      <c r="S65" s="25"/>
      <c r="T65" s="16">
        <f t="shared" si="11"/>
        <v>0</v>
      </c>
      <c r="U65" s="25"/>
      <c r="V65" s="16">
        <f t="shared" si="12"/>
        <v>0</v>
      </c>
      <c r="W65" s="25"/>
      <c r="X65" s="16">
        <f t="shared" si="13"/>
        <v>0</v>
      </c>
    </row>
    <row r="66" spans="2:24" ht="15" customHeight="1" thickBot="1" x14ac:dyDescent="0.3">
      <c r="B66" s="67"/>
      <c r="C66" s="12"/>
      <c r="D66" s="36"/>
      <c r="E66" s="66" t="str">
        <f>E36</f>
        <v>ELOY</v>
      </c>
      <c r="F66" s="13">
        <f>SUM(F38:F65)</f>
        <v>172</v>
      </c>
      <c r="G66" s="66" t="str">
        <f>G36</f>
        <v>NUBIA</v>
      </c>
      <c r="H66" s="13">
        <f>SUM(H38:H65)</f>
        <v>13</v>
      </c>
      <c r="I66" s="66" t="str">
        <f>I36</f>
        <v>MARCE</v>
      </c>
      <c r="J66" s="13">
        <f>SUM(J38:J65)</f>
        <v>74</v>
      </c>
      <c r="K66" s="66" t="str">
        <f>K36</f>
        <v>ISELA</v>
      </c>
      <c r="L66" s="13">
        <f>SUM(L38:L65)</f>
        <v>0</v>
      </c>
      <c r="M66" s="63"/>
      <c r="N66" s="20"/>
      <c r="O66" s="66" t="str">
        <f>O36</f>
        <v>VIKY</v>
      </c>
      <c r="P66" s="13">
        <f>SUM(P38:P65)</f>
        <v>0</v>
      </c>
      <c r="Q66" s="66">
        <f>Q36</f>
        <v>4</v>
      </c>
      <c r="R66" s="13">
        <f>SUM(R38:R65)</f>
        <v>0</v>
      </c>
      <c r="S66" s="66">
        <f>S36</f>
        <v>5</v>
      </c>
      <c r="T66" s="13">
        <f>SUM(T38:T65)</f>
        <v>0</v>
      </c>
      <c r="U66" s="66">
        <f>U36</f>
        <v>6</v>
      </c>
      <c r="V66" s="13">
        <f>SUM(V38:V65)</f>
        <v>0</v>
      </c>
      <c r="W66" s="66">
        <f>W36</f>
        <v>7</v>
      </c>
      <c r="X66" s="13">
        <f>SUM(X38:X65)</f>
        <v>0</v>
      </c>
    </row>
    <row r="67" spans="2:24" ht="15" customHeight="1" thickBot="1" x14ac:dyDescent="0.3">
      <c r="B67" s="68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31"/>
      <c r="O67" s="31"/>
      <c r="P67" s="31"/>
      <c r="Q67" s="31"/>
      <c r="R67" s="31"/>
      <c r="S67" s="31"/>
      <c r="T67" s="31"/>
      <c r="U67" s="62"/>
      <c r="V67" s="62"/>
      <c r="W67" s="62"/>
      <c r="X67" s="62"/>
    </row>
    <row r="68" spans="2:24" ht="19.899999999999999" customHeight="1" x14ac:dyDescent="0.25">
      <c r="B68" s="264">
        <f>B155</f>
        <v>46180</v>
      </c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6"/>
      <c r="T68" s="33"/>
      <c r="U68" s="33"/>
      <c r="V68" s="33"/>
      <c r="W68" s="71"/>
      <c r="X68" s="71"/>
    </row>
    <row r="69" spans="2:24" ht="19.899999999999999" customHeight="1" thickBot="1" x14ac:dyDescent="0.3">
      <c r="B69" s="267" t="s">
        <v>29</v>
      </c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9"/>
      <c r="T69" s="33"/>
      <c r="U69" s="33"/>
      <c r="V69" s="33"/>
      <c r="W69" s="71"/>
      <c r="X69" s="71"/>
    </row>
    <row r="70" spans="2:24" ht="16.149999999999999" hidden="1" customHeight="1" thickBot="1" x14ac:dyDescent="0.3">
      <c r="B70" s="55" t="s">
        <v>12</v>
      </c>
      <c r="C70" s="69"/>
      <c r="D70" s="69"/>
      <c r="E70" s="82" t="s">
        <v>72</v>
      </c>
      <c r="F70" s="274" t="s">
        <v>1</v>
      </c>
      <c r="G70" s="275"/>
      <c r="H70" s="80">
        <v>60</v>
      </c>
      <c r="I70" s="74">
        <v>80</v>
      </c>
      <c r="J70" s="77" t="s">
        <v>52</v>
      </c>
      <c r="K70" s="329" t="s">
        <v>24</v>
      </c>
      <c r="L70" s="330"/>
      <c r="M70" s="86"/>
      <c r="N70" s="86"/>
      <c r="O70" s="274" t="s">
        <v>73</v>
      </c>
      <c r="P70" s="277"/>
      <c r="Q70" s="310" t="s">
        <v>90</v>
      </c>
      <c r="R70" s="311"/>
      <c r="S70" s="312"/>
      <c r="T70" s="79"/>
      <c r="U70" s="79"/>
      <c r="V70" s="72"/>
      <c r="W70" s="73"/>
      <c r="X70" s="73"/>
    </row>
    <row r="71" spans="2:24" ht="16.149999999999999" hidden="1" customHeight="1" x14ac:dyDescent="0.25">
      <c r="B71" s="316" t="str">
        <f>G36</f>
        <v>NUBIA</v>
      </c>
      <c r="C71" s="75"/>
      <c r="D71" s="76"/>
      <c r="E71" s="318">
        <v>120</v>
      </c>
      <c r="F71" s="320" t="s">
        <v>10</v>
      </c>
      <c r="G71" s="321"/>
      <c r="H71" s="170"/>
      <c r="I71" s="170"/>
      <c r="J71" s="14">
        <f>H71+I71</f>
        <v>0</v>
      </c>
      <c r="K71" s="322">
        <f>J71*E71</f>
        <v>0</v>
      </c>
      <c r="L71" s="323"/>
      <c r="M71" s="87"/>
      <c r="N71" s="92"/>
      <c r="O71" s="322">
        <f>H71*H70+I71*I70</f>
        <v>0</v>
      </c>
      <c r="P71" s="324"/>
      <c r="Q71" s="313"/>
      <c r="R71" s="314"/>
      <c r="S71" s="315"/>
      <c r="T71" s="79"/>
      <c r="U71" s="79"/>
      <c r="V71" s="6"/>
    </row>
    <row r="72" spans="2:24" ht="16.149999999999999" hidden="1" customHeight="1" thickBot="1" x14ac:dyDescent="0.3">
      <c r="B72" s="317"/>
      <c r="C72" s="75"/>
      <c r="D72" s="76"/>
      <c r="E72" s="319"/>
      <c r="F72" s="304" t="s">
        <v>9</v>
      </c>
      <c r="G72" s="305"/>
      <c r="H72" s="171"/>
      <c r="I72" s="171"/>
      <c r="J72" s="81">
        <f>H72+I72</f>
        <v>0</v>
      </c>
      <c r="K72" s="308">
        <f>J72*E71</f>
        <v>0</v>
      </c>
      <c r="L72" s="325"/>
      <c r="M72" s="88"/>
      <c r="N72" s="93"/>
      <c r="O72" s="308">
        <f>H72*H70+I72*I70</f>
        <v>0</v>
      </c>
      <c r="P72" s="309"/>
      <c r="Q72" s="313"/>
      <c r="R72" s="314"/>
      <c r="S72" s="315"/>
      <c r="T72" s="79"/>
      <c r="U72" s="79"/>
      <c r="V72" s="6"/>
    </row>
    <row r="73" spans="2:24" ht="16.149999999999999" hidden="1" customHeight="1" x14ac:dyDescent="0.25">
      <c r="B73" s="70" t="s">
        <v>74</v>
      </c>
      <c r="C73" s="75"/>
      <c r="D73" s="76"/>
      <c r="E73" s="318">
        <v>300</v>
      </c>
      <c r="F73" s="320" t="s">
        <v>6</v>
      </c>
      <c r="G73" s="321"/>
      <c r="H73" s="327"/>
      <c r="I73" s="328"/>
      <c r="J73" s="83"/>
      <c r="K73" s="322">
        <f>H73*E73</f>
        <v>0</v>
      </c>
      <c r="L73" s="324"/>
      <c r="M73" s="89"/>
      <c r="N73" s="92"/>
      <c r="O73" s="322">
        <f>H73*150</f>
        <v>0</v>
      </c>
      <c r="P73" s="324"/>
      <c r="Q73" s="313"/>
      <c r="R73" s="314"/>
      <c r="S73" s="315"/>
      <c r="T73" s="79"/>
      <c r="U73" s="79"/>
      <c r="V73" s="6"/>
    </row>
    <row r="74" spans="2:24" ht="16.149999999999999" hidden="1" customHeight="1" x14ac:dyDescent="0.25">
      <c r="B74" s="292">
        <f>O71+O72+O73+O74+O75</f>
        <v>0</v>
      </c>
      <c r="C74" s="75"/>
      <c r="D74" s="76"/>
      <c r="E74" s="326"/>
      <c r="F74" s="294" t="s">
        <v>4</v>
      </c>
      <c r="G74" s="295"/>
      <c r="H74" s="296"/>
      <c r="I74" s="297"/>
      <c r="J74" s="84"/>
      <c r="K74" s="298">
        <f>H74*E73</f>
        <v>0</v>
      </c>
      <c r="L74" s="299"/>
      <c r="M74" s="90"/>
      <c r="N74" s="94"/>
      <c r="O74" s="298">
        <f>H74*150</f>
        <v>0</v>
      </c>
      <c r="P74" s="299"/>
      <c r="Q74" s="292">
        <f>K71+K72+K73+K74+K75</f>
        <v>0</v>
      </c>
      <c r="R74" s="300"/>
      <c r="S74" s="301"/>
      <c r="T74" s="78"/>
      <c r="U74" s="78"/>
      <c r="V74" s="6"/>
    </row>
    <row r="75" spans="2:24" ht="16.149999999999999" hidden="1" customHeight="1" thickBot="1" x14ac:dyDescent="0.3">
      <c r="B75" s="293"/>
      <c r="C75" s="75"/>
      <c r="D75" s="76"/>
      <c r="E75" s="319"/>
      <c r="F75" s="304" t="s">
        <v>5</v>
      </c>
      <c r="G75" s="305"/>
      <c r="H75" s="306"/>
      <c r="I75" s="307"/>
      <c r="J75" s="85"/>
      <c r="K75" s="308">
        <f>H75*E73</f>
        <v>0</v>
      </c>
      <c r="L75" s="309"/>
      <c r="M75" s="91"/>
      <c r="N75" s="95"/>
      <c r="O75" s="308">
        <f>H75*150</f>
        <v>0</v>
      </c>
      <c r="P75" s="309"/>
      <c r="Q75" s="293"/>
      <c r="R75" s="302"/>
      <c r="S75" s="303"/>
      <c r="T75" s="78"/>
      <c r="U75" s="169"/>
      <c r="V75" s="6"/>
    </row>
    <row r="76" spans="2:24" ht="16.149999999999999" customHeight="1" thickBot="1" x14ac:dyDescent="0.3">
      <c r="B76" s="55" t="s">
        <v>12</v>
      </c>
      <c r="C76" s="69"/>
      <c r="D76" s="69"/>
      <c r="E76" s="82" t="s">
        <v>72</v>
      </c>
      <c r="F76" s="274" t="s">
        <v>1</v>
      </c>
      <c r="G76" s="275"/>
      <c r="H76" s="80">
        <v>60</v>
      </c>
      <c r="I76" s="74">
        <v>80</v>
      </c>
      <c r="J76" s="77" t="s">
        <v>52</v>
      </c>
      <c r="K76" s="329" t="s">
        <v>24</v>
      </c>
      <c r="L76" s="330"/>
      <c r="M76" s="86"/>
      <c r="N76" s="86"/>
      <c r="O76" s="274" t="s">
        <v>73</v>
      </c>
      <c r="P76" s="277"/>
      <c r="Q76" s="310" t="s">
        <v>90</v>
      </c>
      <c r="R76" s="311"/>
      <c r="S76" s="312"/>
      <c r="T76" s="79"/>
      <c r="U76" s="79"/>
      <c r="V76" s="6"/>
    </row>
    <row r="77" spans="2:24" ht="16.149999999999999" customHeight="1" x14ac:dyDescent="0.25">
      <c r="B77" s="316" t="str">
        <f>I36</f>
        <v>MARCE</v>
      </c>
      <c r="C77" s="75"/>
      <c r="D77" s="76"/>
      <c r="E77" s="318">
        <v>120</v>
      </c>
      <c r="F77" s="320" t="s">
        <v>10</v>
      </c>
      <c r="G77" s="321"/>
      <c r="H77" s="170"/>
      <c r="I77" s="170"/>
      <c r="J77" s="14">
        <f>H77+I77</f>
        <v>0</v>
      </c>
      <c r="K77" s="322">
        <f>J77*E77</f>
        <v>0</v>
      </c>
      <c r="L77" s="323"/>
      <c r="M77" s="87"/>
      <c r="N77" s="92"/>
      <c r="O77" s="322">
        <f>H77*H76+I77*I76</f>
        <v>0</v>
      </c>
      <c r="P77" s="324"/>
      <c r="Q77" s="313"/>
      <c r="R77" s="314"/>
      <c r="S77" s="315"/>
      <c r="T77" s="79"/>
      <c r="U77" s="79"/>
      <c r="V77" s="6"/>
    </row>
    <row r="78" spans="2:24" ht="16.149999999999999" customHeight="1" thickBot="1" x14ac:dyDescent="0.3">
      <c r="B78" s="317"/>
      <c r="C78" s="75"/>
      <c r="D78" s="76"/>
      <c r="E78" s="319"/>
      <c r="F78" s="304" t="s">
        <v>9</v>
      </c>
      <c r="G78" s="305"/>
      <c r="H78" s="171"/>
      <c r="I78" s="171"/>
      <c r="J78" s="81">
        <f>H78+I78</f>
        <v>0</v>
      </c>
      <c r="K78" s="308">
        <f>J78*E77</f>
        <v>0</v>
      </c>
      <c r="L78" s="325"/>
      <c r="M78" s="88"/>
      <c r="N78" s="93"/>
      <c r="O78" s="308">
        <f>H78*H76+I78*I76</f>
        <v>0</v>
      </c>
      <c r="P78" s="309"/>
      <c r="Q78" s="313"/>
      <c r="R78" s="314"/>
      <c r="S78" s="315"/>
      <c r="T78" s="79"/>
      <c r="U78" s="79"/>
      <c r="V78" s="6"/>
    </row>
    <row r="79" spans="2:24" ht="16.149999999999999" customHeight="1" x14ac:dyDescent="0.25">
      <c r="B79" s="70" t="s">
        <v>74</v>
      </c>
      <c r="C79" s="75"/>
      <c r="D79" s="76"/>
      <c r="E79" s="318">
        <v>300</v>
      </c>
      <c r="F79" s="320" t="s">
        <v>6</v>
      </c>
      <c r="G79" s="321"/>
      <c r="H79" s="327"/>
      <c r="I79" s="328"/>
      <c r="J79" s="83"/>
      <c r="K79" s="322">
        <f>H79*E79</f>
        <v>0</v>
      </c>
      <c r="L79" s="324"/>
      <c r="M79" s="89"/>
      <c r="N79" s="92"/>
      <c r="O79" s="322">
        <f>H79*150</f>
        <v>0</v>
      </c>
      <c r="P79" s="324"/>
      <c r="Q79" s="313"/>
      <c r="R79" s="314"/>
      <c r="S79" s="315"/>
      <c r="T79" s="79"/>
      <c r="U79" s="79"/>
      <c r="V79" s="6"/>
    </row>
    <row r="80" spans="2:24" ht="16.149999999999999" customHeight="1" x14ac:dyDescent="0.25">
      <c r="B80" s="292">
        <f>O77+O78+O79+O80+O81</f>
        <v>0</v>
      </c>
      <c r="C80" s="75"/>
      <c r="D80" s="76"/>
      <c r="E80" s="326"/>
      <c r="F80" s="294" t="s">
        <v>4</v>
      </c>
      <c r="G80" s="295"/>
      <c r="H80" s="296"/>
      <c r="I80" s="297"/>
      <c r="J80" s="84"/>
      <c r="K80" s="298">
        <f>H80*E79</f>
        <v>0</v>
      </c>
      <c r="L80" s="299"/>
      <c r="M80" s="90"/>
      <c r="N80" s="94"/>
      <c r="O80" s="298">
        <f>H80*150</f>
        <v>0</v>
      </c>
      <c r="P80" s="299"/>
      <c r="Q80" s="292">
        <f>K77+K78+K79+K80+K81</f>
        <v>0</v>
      </c>
      <c r="R80" s="300"/>
      <c r="S80" s="301"/>
      <c r="T80" s="78"/>
      <c r="U80" s="78"/>
      <c r="V80" s="6"/>
    </row>
    <row r="81" spans="2:22" ht="16.149999999999999" customHeight="1" thickBot="1" x14ac:dyDescent="0.3">
      <c r="B81" s="293"/>
      <c r="C81" s="75"/>
      <c r="D81" s="76"/>
      <c r="E81" s="319"/>
      <c r="F81" s="304" t="s">
        <v>5</v>
      </c>
      <c r="G81" s="305"/>
      <c r="H81" s="306"/>
      <c r="I81" s="307"/>
      <c r="J81" s="85"/>
      <c r="K81" s="308">
        <f>H81*E79</f>
        <v>0</v>
      </c>
      <c r="L81" s="309"/>
      <c r="M81" s="91"/>
      <c r="N81" s="95"/>
      <c r="O81" s="308">
        <f>H81*150</f>
        <v>0</v>
      </c>
      <c r="P81" s="309"/>
      <c r="Q81" s="293"/>
      <c r="R81" s="302"/>
      <c r="S81" s="303"/>
      <c r="T81" s="78"/>
      <c r="U81" s="169"/>
      <c r="V81" s="6"/>
    </row>
    <row r="82" spans="2:22" ht="16.149999999999999" customHeight="1" thickBot="1" x14ac:dyDescent="0.3">
      <c r="B82" s="55" t="s">
        <v>12</v>
      </c>
      <c r="C82" s="69"/>
      <c r="D82" s="69"/>
      <c r="E82" s="82" t="s">
        <v>72</v>
      </c>
      <c r="F82" s="274" t="s">
        <v>1</v>
      </c>
      <c r="G82" s="275"/>
      <c r="H82" s="80">
        <v>60</v>
      </c>
      <c r="I82" s="74">
        <v>80</v>
      </c>
      <c r="J82" s="77" t="s">
        <v>52</v>
      </c>
      <c r="K82" s="329" t="s">
        <v>24</v>
      </c>
      <c r="L82" s="330"/>
      <c r="M82" s="86"/>
      <c r="N82" s="86"/>
      <c r="O82" s="274" t="s">
        <v>73</v>
      </c>
      <c r="P82" s="277"/>
      <c r="Q82" s="310" t="s">
        <v>90</v>
      </c>
      <c r="R82" s="311"/>
      <c r="S82" s="312"/>
      <c r="T82" s="79"/>
      <c r="U82" s="79"/>
      <c r="V82" s="6"/>
    </row>
    <row r="83" spans="2:22" ht="16.149999999999999" customHeight="1" x14ac:dyDescent="0.25">
      <c r="B83" s="316" t="str">
        <f>K36</f>
        <v>ISELA</v>
      </c>
      <c r="C83" s="75"/>
      <c r="D83" s="76"/>
      <c r="E83" s="318">
        <v>120</v>
      </c>
      <c r="F83" s="320" t="s">
        <v>10</v>
      </c>
      <c r="G83" s="321"/>
      <c r="H83" s="170"/>
      <c r="I83" s="170"/>
      <c r="J83" s="14">
        <f>H83+I83</f>
        <v>0</v>
      </c>
      <c r="K83" s="322">
        <f>J83*E83</f>
        <v>0</v>
      </c>
      <c r="L83" s="323"/>
      <c r="M83" s="87"/>
      <c r="N83" s="92"/>
      <c r="O83" s="322">
        <f>H83*H82+I83*I82</f>
        <v>0</v>
      </c>
      <c r="P83" s="324"/>
      <c r="Q83" s="313"/>
      <c r="R83" s="314"/>
      <c r="S83" s="315"/>
      <c r="T83" s="79"/>
      <c r="U83" s="79"/>
      <c r="V83" s="6"/>
    </row>
    <row r="84" spans="2:22" ht="16.149999999999999" customHeight="1" thickBot="1" x14ac:dyDescent="0.3">
      <c r="B84" s="317"/>
      <c r="C84" s="75"/>
      <c r="D84" s="76"/>
      <c r="E84" s="319"/>
      <c r="F84" s="304" t="s">
        <v>9</v>
      </c>
      <c r="G84" s="305"/>
      <c r="H84" s="171"/>
      <c r="I84" s="171"/>
      <c r="J84" s="81">
        <f>H84+I84</f>
        <v>0</v>
      </c>
      <c r="K84" s="308">
        <f>J84*E83</f>
        <v>0</v>
      </c>
      <c r="L84" s="325"/>
      <c r="M84" s="88"/>
      <c r="N84" s="93"/>
      <c r="O84" s="308">
        <f>H84*H82+I84*I82</f>
        <v>0</v>
      </c>
      <c r="P84" s="309"/>
      <c r="Q84" s="313"/>
      <c r="R84" s="314"/>
      <c r="S84" s="315"/>
      <c r="T84" s="79"/>
      <c r="U84" s="79"/>
      <c r="V84" s="6"/>
    </row>
    <row r="85" spans="2:22" ht="16.149999999999999" customHeight="1" x14ac:dyDescent="0.25">
      <c r="B85" s="70" t="s">
        <v>74</v>
      </c>
      <c r="C85" s="75"/>
      <c r="D85" s="76"/>
      <c r="E85" s="318">
        <v>300</v>
      </c>
      <c r="F85" s="320" t="s">
        <v>6</v>
      </c>
      <c r="G85" s="321"/>
      <c r="H85" s="327"/>
      <c r="I85" s="328"/>
      <c r="J85" s="83"/>
      <c r="K85" s="322">
        <f>H85*E85</f>
        <v>0</v>
      </c>
      <c r="L85" s="324"/>
      <c r="M85" s="89"/>
      <c r="N85" s="92"/>
      <c r="O85" s="322">
        <f>H85*150</f>
        <v>0</v>
      </c>
      <c r="P85" s="324"/>
      <c r="Q85" s="313"/>
      <c r="R85" s="314"/>
      <c r="S85" s="315"/>
      <c r="T85" s="79"/>
      <c r="U85" s="79"/>
      <c r="V85" s="6"/>
    </row>
    <row r="86" spans="2:22" ht="16.149999999999999" customHeight="1" x14ac:dyDescent="0.25">
      <c r="B86" s="292">
        <f>O83+O84+O85+O86+O87</f>
        <v>0</v>
      </c>
      <c r="C86" s="75"/>
      <c r="D86" s="76"/>
      <c r="E86" s="326"/>
      <c r="F86" s="294" t="s">
        <v>4</v>
      </c>
      <c r="G86" s="295"/>
      <c r="H86" s="296"/>
      <c r="I86" s="297"/>
      <c r="J86" s="84"/>
      <c r="K86" s="298">
        <f>H86*E85</f>
        <v>0</v>
      </c>
      <c r="L86" s="299"/>
      <c r="M86" s="90"/>
      <c r="N86" s="94"/>
      <c r="O86" s="298">
        <f>H86*150</f>
        <v>0</v>
      </c>
      <c r="P86" s="299"/>
      <c r="Q86" s="292">
        <f>K83+K84+K85+K86+K87</f>
        <v>0</v>
      </c>
      <c r="R86" s="300"/>
      <c r="S86" s="301"/>
      <c r="T86" s="78"/>
      <c r="U86" s="78"/>
      <c r="V86" s="6"/>
    </row>
    <row r="87" spans="2:22" ht="16.149999999999999" customHeight="1" thickBot="1" x14ac:dyDescent="0.3">
      <c r="B87" s="293"/>
      <c r="C87" s="75"/>
      <c r="D87" s="76"/>
      <c r="E87" s="319"/>
      <c r="F87" s="304" t="s">
        <v>5</v>
      </c>
      <c r="G87" s="305"/>
      <c r="H87" s="306"/>
      <c r="I87" s="307"/>
      <c r="J87" s="85"/>
      <c r="K87" s="308">
        <f>H87*E85</f>
        <v>0</v>
      </c>
      <c r="L87" s="309"/>
      <c r="M87" s="91"/>
      <c r="N87" s="95"/>
      <c r="O87" s="308">
        <f>H87*150</f>
        <v>0</v>
      </c>
      <c r="P87" s="309"/>
      <c r="Q87" s="293"/>
      <c r="R87" s="302"/>
      <c r="S87" s="303"/>
      <c r="T87" s="78"/>
      <c r="U87" s="169"/>
      <c r="V87" s="6"/>
    </row>
    <row r="88" spans="2:22" ht="16.149999999999999" customHeight="1" thickBot="1" x14ac:dyDescent="0.3">
      <c r="B88" s="55" t="s">
        <v>12</v>
      </c>
      <c r="C88" s="69"/>
      <c r="D88" s="69"/>
      <c r="E88" s="82" t="s">
        <v>72</v>
      </c>
      <c r="F88" s="274" t="s">
        <v>1</v>
      </c>
      <c r="G88" s="275"/>
      <c r="H88" s="80">
        <v>60</v>
      </c>
      <c r="I88" s="74">
        <v>80</v>
      </c>
      <c r="J88" s="77" t="s">
        <v>52</v>
      </c>
      <c r="K88" s="329" t="s">
        <v>24</v>
      </c>
      <c r="L88" s="330"/>
      <c r="M88" s="86"/>
      <c r="N88" s="86"/>
      <c r="O88" s="274" t="s">
        <v>73</v>
      </c>
      <c r="P88" s="277"/>
      <c r="Q88" s="310" t="s">
        <v>90</v>
      </c>
      <c r="R88" s="311"/>
      <c r="S88" s="312"/>
      <c r="T88" s="79"/>
      <c r="U88" s="79"/>
      <c r="V88" s="6"/>
    </row>
    <row r="89" spans="2:22" ht="16.149999999999999" customHeight="1" x14ac:dyDescent="0.25">
      <c r="B89" s="316" t="str">
        <f>O36</f>
        <v>VIKY</v>
      </c>
      <c r="C89" s="75"/>
      <c r="D89" s="76"/>
      <c r="E89" s="318">
        <v>120</v>
      </c>
      <c r="F89" s="320" t="s">
        <v>10</v>
      </c>
      <c r="G89" s="321"/>
      <c r="H89" s="170"/>
      <c r="I89" s="170"/>
      <c r="J89" s="14">
        <f>H89+I89</f>
        <v>0</v>
      </c>
      <c r="K89" s="322">
        <f>J89*E89</f>
        <v>0</v>
      </c>
      <c r="L89" s="323"/>
      <c r="M89" s="87"/>
      <c r="N89" s="92"/>
      <c r="O89" s="322">
        <f>H89*H88+I89*I88</f>
        <v>0</v>
      </c>
      <c r="P89" s="324"/>
      <c r="Q89" s="313"/>
      <c r="R89" s="314"/>
      <c r="S89" s="315"/>
      <c r="T89" s="79"/>
      <c r="U89" s="79"/>
      <c r="V89" s="6"/>
    </row>
    <row r="90" spans="2:22" ht="16.149999999999999" customHeight="1" thickBot="1" x14ac:dyDescent="0.3">
      <c r="B90" s="317"/>
      <c r="C90" s="75"/>
      <c r="D90" s="76"/>
      <c r="E90" s="319"/>
      <c r="F90" s="304" t="s">
        <v>9</v>
      </c>
      <c r="G90" s="305"/>
      <c r="H90" s="171"/>
      <c r="I90" s="171"/>
      <c r="J90" s="81">
        <f>H90+I90</f>
        <v>0</v>
      </c>
      <c r="K90" s="308">
        <f>J90*E89</f>
        <v>0</v>
      </c>
      <c r="L90" s="325"/>
      <c r="M90" s="88"/>
      <c r="N90" s="93"/>
      <c r="O90" s="308">
        <f>H90*H88+I90*I88</f>
        <v>0</v>
      </c>
      <c r="P90" s="309"/>
      <c r="Q90" s="313"/>
      <c r="R90" s="314"/>
      <c r="S90" s="315"/>
      <c r="T90" s="79"/>
      <c r="U90" s="79"/>
      <c r="V90" s="6"/>
    </row>
    <row r="91" spans="2:22" ht="16.149999999999999" customHeight="1" x14ac:dyDescent="0.25">
      <c r="B91" s="70" t="s">
        <v>74</v>
      </c>
      <c r="C91" s="75"/>
      <c r="D91" s="76"/>
      <c r="E91" s="318">
        <v>300</v>
      </c>
      <c r="F91" s="320" t="s">
        <v>6</v>
      </c>
      <c r="G91" s="321"/>
      <c r="H91" s="327"/>
      <c r="I91" s="328"/>
      <c r="J91" s="83"/>
      <c r="K91" s="322">
        <f>H91*E91</f>
        <v>0</v>
      </c>
      <c r="L91" s="324"/>
      <c r="M91" s="89"/>
      <c r="N91" s="92"/>
      <c r="O91" s="322">
        <f>H91*150</f>
        <v>0</v>
      </c>
      <c r="P91" s="324"/>
      <c r="Q91" s="313"/>
      <c r="R91" s="314"/>
      <c r="S91" s="315"/>
      <c r="T91" s="79"/>
      <c r="U91" s="79"/>
      <c r="V91" s="6"/>
    </row>
    <row r="92" spans="2:22" ht="16.149999999999999" customHeight="1" x14ac:dyDescent="0.25">
      <c r="B92" s="292">
        <f>O89+O90+O91+O92+O93</f>
        <v>0</v>
      </c>
      <c r="C92" s="75"/>
      <c r="D92" s="76"/>
      <c r="E92" s="326"/>
      <c r="F92" s="294" t="s">
        <v>4</v>
      </c>
      <c r="G92" s="295"/>
      <c r="H92" s="296"/>
      <c r="I92" s="297"/>
      <c r="J92" s="84"/>
      <c r="K92" s="298">
        <f>H92*E91</f>
        <v>0</v>
      </c>
      <c r="L92" s="299"/>
      <c r="M92" s="90"/>
      <c r="N92" s="94"/>
      <c r="O92" s="298">
        <f>H92*150</f>
        <v>0</v>
      </c>
      <c r="P92" s="299"/>
      <c r="Q92" s="292">
        <f>K89+K90+K91+K92+K93</f>
        <v>0</v>
      </c>
      <c r="R92" s="300"/>
      <c r="S92" s="301"/>
      <c r="T92" s="78"/>
      <c r="U92" s="78"/>
      <c r="V92" s="6"/>
    </row>
    <row r="93" spans="2:22" ht="16.149999999999999" customHeight="1" thickBot="1" x14ac:dyDescent="0.3">
      <c r="B93" s="293"/>
      <c r="C93" s="75"/>
      <c r="D93" s="76"/>
      <c r="E93" s="319"/>
      <c r="F93" s="304" t="s">
        <v>5</v>
      </c>
      <c r="G93" s="305"/>
      <c r="H93" s="306"/>
      <c r="I93" s="307"/>
      <c r="J93" s="85"/>
      <c r="K93" s="308">
        <f>H93*E91</f>
        <v>0</v>
      </c>
      <c r="L93" s="309"/>
      <c r="M93" s="91"/>
      <c r="N93" s="95"/>
      <c r="O93" s="308">
        <f>H93*150</f>
        <v>0</v>
      </c>
      <c r="P93" s="309"/>
      <c r="Q93" s="293"/>
      <c r="R93" s="302"/>
      <c r="S93" s="303"/>
      <c r="T93" s="78"/>
      <c r="U93" s="169"/>
      <c r="V93" s="6"/>
    </row>
    <row r="94" spans="2:22" ht="16.149999999999999" customHeight="1" thickBot="1" x14ac:dyDescent="0.3">
      <c r="B94" s="55" t="s">
        <v>12</v>
      </c>
      <c r="C94" s="69"/>
      <c r="D94" s="69"/>
      <c r="E94" s="82" t="s">
        <v>72</v>
      </c>
      <c r="F94" s="274" t="s">
        <v>1</v>
      </c>
      <c r="G94" s="275"/>
      <c r="H94" s="80">
        <v>60</v>
      </c>
      <c r="I94" s="74">
        <v>80</v>
      </c>
      <c r="J94" s="77" t="s">
        <v>52</v>
      </c>
      <c r="K94" s="329" t="s">
        <v>24</v>
      </c>
      <c r="L94" s="330"/>
      <c r="M94" s="86"/>
      <c r="N94" s="86"/>
      <c r="O94" s="274" t="s">
        <v>73</v>
      </c>
      <c r="P94" s="277"/>
      <c r="Q94" s="310" t="s">
        <v>90</v>
      </c>
      <c r="R94" s="311"/>
      <c r="S94" s="312"/>
      <c r="T94" s="79"/>
      <c r="U94" s="79"/>
      <c r="V94" s="6"/>
    </row>
    <row r="95" spans="2:22" ht="16.149999999999999" customHeight="1" x14ac:dyDescent="0.25">
      <c r="B95" s="316">
        <f>Q36</f>
        <v>4</v>
      </c>
      <c r="C95" s="75"/>
      <c r="D95" s="76"/>
      <c r="E95" s="318">
        <v>120</v>
      </c>
      <c r="F95" s="320" t="s">
        <v>10</v>
      </c>
      <c r="G95" s="321"/>
      <c r="H95" s="170"/>
      <c r="I95" s="170"/>
      <c r="J95" s="14">
        <f>H95+I95</f>
        <v>0</v>
      </c>
      <c r="K95" s="322">
        <f>J95*E95</f>
        <v>0</v>
      </c>
      <c r="L95" s="323"/>
      <c r="M95" s="87"/>
      <c r="N95" s="92"/>
      <c r="O95" s="322">
        <f>H95*H94+I95*I94</f>
        <v>0</v>
      </c>
      <c r="P95" s="324"/>
      <c r="Q95" s="313"/>
      <c r="R95" s="314"/>
      <c r="S95" s="315"/>
      <c r="T95" s="79"/>
      <c r="U95" s="79"/>
      <c r="V95" s="6"/>
    </row>
    <row r="96" spans="2:22" ht="16.149999999999999" customHeight="1" thickBot="1" x14ac:dyDescent="0.3">
      <c r="B96" s="317"/>
      <c r="C96" s="75"/>
      <c r="D96" s="76"/>
      <c r="E96" s="319"/>
      <c r="F96" s="304" t="s">
        <v>9</v>
      </c>
      <c r="G96" s="305"/>
      <c r="H96" s="171"/>
      <c r="I96" s="171"/>
      <c r="J96" s="81">
        <f>H96+I96</f>
        <v>0</v>
      </c>
      <c r="K96" s="308">
        <f>J96*E95</f>
        <v>0</v>
      </c>
      <c r="L96" s="325"/>
      <c r="M96" s="88"/>
      <c r="N96" s="93"/>
      <c r="O96" s="308">
        <f>H96*H94+I96*I94</f>
        <v>0</v>
      </c>
      <c r="P96" s="309"/>
      <c r="Q96" s="313"/>
      <c r="R96" s="314"/>
      <c r="S96" s="315"/>
      <c r="T96" s="79"/>
      <c r="U96" s="79"/>
      <c r="V96" s="6"/>
    </row>
    <row r="97" spans="2:22" ht="16.149999999999999" customHeight="1" x14ac:dyDescent="0.25">
      <c r="B97" s="70" t="s">
        <v>74</v>
      </c>
      <c r="C97" s="75"/>
      <c r="D97" s="76"/>
      <c r="E97" s="318">
        <v>300</v>
      </c>
      <c r="F97" s="320" t="s">
        <v>6</v>
      </c>
      <c r="G97" s="321"/>
      <c r="H97" s="327"/>
      <c r="I97" s="328"/>
      <c r="J97" s="83"/>
      <c r="K97" s="322">
        <f>H97*E97</f>
        <v>0</v>
      </c>
      <c r="L97" s="324"/>
      <c r="M97" s="89"/>
      <c r="N97" s="92"/>
      <c r="O97" s="322">
        <f>H97*150</f>
        <v>0</v>
      </c>
      <c r="P97" s="324"/>
      <c r="Q97" s="313"/>
      <c r="R97" s="314"/>
      <c r="S97" s="315"/>
      <c r="T97" s="79"/>
      <c r="U97" s="79"/>
      <c r="V97" s="6"/>
    </row>
    <row r="98" spans="2:22" ht="16.149999999999999" customHeight="1" x14ac:dyDescent="0.25">
      <c r="B98" s="292">
        <f>O95+O96+O97+O98+O99</f>
        <v>0</v>
      </c>
      <c r="C98" s="75"/>
      <c r="D98" s="76"/>
      <c r="E98" s="326"/>
      <c r="F98" s="294" t="s">
        <v>4</v>
      </c>
      <c r="G98" s="295"/>
      <c r="H98" s="296"/>
      <c r="I98" s="297"/>
      <c r="J98" s="84"/>
      <c r="K98" s="298">
        <f>H98*E97</f>
        <v>0</v>
      </c>
      <c r="L98" s="299"/>
      <c r="M98" s="90"/>
      <c r="N98" s="94"/>
      <c r="O98" s="298">
        <f>H98*150</f>
        <v>0</v>
      </c>
      <c r="P98" s="299"/>
      <c r="Q98" s="292">
        <f>K95+K96+K97+K98+K99</f>
        <v>0</v>
      </c>
      <c r="R98" s="300"/>
      <c r="S98" s="301"/>
      <c r="T98" s="78"/>
      <c r="U98" s="78"/>
      <c r="V98" s="6"/>
    </row>
    <row r="99" spans="2:22" ht="16.149999999999999" customHeight="1" thickBot="1" x14ac:dyDescent="0.3">
      <c r="B99" s="293"/>
      <c r="C99" s="75"/>
      <c r="D99" s="76"/>
      <c r="E99" s="319"/>
      <c r="F99" s="304" t="s">
        <v>5</v>
      </c>
      <c r="G99" s="305"/>
      <c r="H99" s="306"/>
      <c r="I99" s="307"/>
      <c r="J99" s="85"/>
      <c r="K99" s="308">
        <f>H99*E97</f>
        <v>0</v>
      </c>
      <c r="L99" s="309"/>
      <c r="M99" s="91"/>
      <c r="N99" s="95"/>
      <c r="O99" s="308">
        <f>H99*150</f>
        <v>0</v>
      </c>
      <c r="P99" s="309"/>
      <c r="Q99" s="293"/>
      <c r="R99" s="302"/>
      <c r="S99" s="303"/>
      <c r="T99" s="78"/>
      <c r="U99" s="169"/>
      <c r="V99" s="6"/>
    </row>
    <row r="100" spans="2:22" ht="16.149999999999999" customHeight="1" thickBot="1" x14ac:dyDescent="0.3">
      <c r="B100" s="55" t="s">
        <v>12</v>
      </c>
      <c r="C100" s="69"/>
      <c r="D100" s="69"/>
      <c r="E100" s="82" t="s">
        <v>72</v>
      </c>
      <c r="F100" s="274" t="s">
        <v>1</v>
      </c>
      <c r="G100" s="275"/>
      <c r="H100" s="80">
        <v>60</v>
      </c>
      <c r="I100" s="74">
        <v>80</v>
      </c>
      <c r="J100" s="77" t="s">
        <v>52</v>
      </c>
      <c r="K100" s="329" t="s">
        <v>24</v>
      </c>
      <c r="L100" s="330"/>
      <c r="M100" s="86"/>
      <c r="N100" s="86"/>
      <c r="O100" s="274" t="s">
        <v>73</v>
      </c>
      <c r="P100" s="277"/>
      <c r="Q100" s="310" t="s">
        <v>90</v>
      </c>
      <c r="R100" s="311"/>
      <c r="S100" s="312"/>
      <c r="T100" s="79"/>
      <c r="U100" s="79"/>
      <c r="V100" s="6"/>
    </row>
    <row r="101" spans="2:22" ht="16.149999999999999" customHeight="1" x14ac:dyDescent="0.25">
      <c r="B101" s="316">
        <f>S36</f>
        <v>5</v>
      </c>
      <c r="C101" s="75"/>
      <c r="D101" s="76"/>
      <c r="E101" s="318">
        <v>120</v>
      </c>
      <c r="F101" s="320" t="s">
        <v>10</v>
      </c>
      <c r="G101" s="321"/>
      <c r="H101" s="170"/>
      <c r="I101" s="170"/>
      <c r="J101" s="14">
        <f>H101+I101</f>
        <v>0</v>
      </c>
      <c r="K101" s="322">
        <f>J101*E101</f>
        <v>0</v>
      </c>
      <c r="L101" s="323"/>
      <c r="M101" s="87"/>
      <c r="N101" s="92"/>
      <c r="O101" s="322">
        <f>H101*H100+I101*I100</f>
        <v>0</v>
      </c>
      <c r="P101" s="324"/>
      <c r="Q101" s="313"/>
      <c r="R101" s="314"/>
      <c r="S101" s="315"/>
      <c r="T101" s="79"/>
      <c r="U101" s="79"/>
      <c r="V101" s="6"/>
    </row>
    <row r="102" spans="2:22" ht="16.149999999999999" customHeight="1" thickBot="1" x14ac:dyDescent="0.3">
      <c r="B102" s="317"/>
      <c r="C102" s="75"/>
      <c r="D102" s="76"/>
      <c r="E102" s="319"/>
      <c r="F102" s="304" t="s">
        <v>9</v>
      </c>
      <c r="G102" s="305"/>
      <c r="H102" s="171"/>
      <c r="I102" s="171"/>
      <c r="J102" s="81">
        <f>H102+I102</f>
        <v>0</v>
      </c>
      <c r="K102" s="308">
        <f>J102*E101</f>
        <v>0</v>
      </c>
      <c r="L102" s="325"/>
      <c r="M102" s="88"/>
      <c r="N102" s="93"/>
      <c r="O102" s="308">
        <f>H102*H100+I102*I100</f>
        <v>0</v>
      </c>
      <c r="P102" s="309"/>
      <c r="Q102" s="313"/>
      <c r="R102" s="314"/>
      <c r="S102" s="315"/>
      <c r="T102" s="79"/>
      <c r="U102" s="79"/>
      <c r="V102" s="6"/>
    </row>
    <row r="103" spans="2:22" ht="16.149999999999999" customHeight="1" x14ac:dyDescent="0.25">
      <c r="B103" s="70" t="s">
        <v>74</v>
      </c>
      <c r="C103" s="75"/>
      <c r="D103" s="76"/>
      <c r="E103" s="318">
        <v>300</v>
      </c>
      <c r="F103" s="320" t="s">
        <v>6</v>
      </c>
      <c r="G103" s="321"/>
      <c r="H103" s="327"/>
      <c r="I103" s="328"/>
      <c r="J103" s="83"/>
      <c r="K103" s="322">
        <f>H103*E103</f>
        <v>0</v>
      </c>
      <c r="L103" s="324"/>
      <c r="M103" s="89"/>
      <c r="N103" s="92"/>
      <c r="O103" s="322">
        <f>H103*150</f>
        <v>0</v>
      </c>
      <c r="P103" s="324"/>
      <c r="Q103" s="313"/>
      <c r="R103" s="314"/>
      <c r="S103" s="315"/>
      <c r="T103" s="79"/>
      <c r="U103" s="79"/>
      <c r="V103" s="6"/>
    </row>
    <row r="104" spans="2:22" ht="16.149999999999999" customHeight="1" x14ac:dyDescent="0.25">
      <c r="B104" s="292">
        <f>O101+O102+O103+O104+O105</f>
        <v>0</v>
      </c>
      <c r="C104" s="75"/>
      <c r="D104" s="76"/>
      <c r="E104" s="326"/>
      <c r="F104" s="294" t="s">
        <v>4</v>
      </c>
      <c r="G104" s="295"/>
      <c r="H104" s="296"/>
      <c r="I104" s="297"/>
      <c r="J104" s="84"/>
      <c r="K104" s="298">
        <f>H104*E103</f>
        <v>0</v>
      </c>
      <c r="L104" s="299"/>
      <c r="M104" s="90"/>
      <c r="N104" s="94"/>
      <c r="O104" s="298">
        <f>H104*150</f>
        <v>0</v>
      </c>
      <c r="P104" s="299"/>
      <c r="Q104" s="292">
        <f>K101+K102+K103+K104+K105</f>
        <v>0</v>
      </c>
      <c r="R104" s="300"/>
      <c r="S104" s="301"/>
      <c r="T104" s="78"/>
      <c r="U104" s="78"/>
      <c r="V104" s="6"/>
    </row>
    <row r="105" spans="2:22" ht="16.149999999999999" customHeight="1" thickBot="1" x14ac:dyDescent="0.3">
      <c r="B105" s="293"/>
      <c r="C105" s="75"/>
      <c r="D105" s="76"/>
      <c r="E105" s="319"/>
      <c r="F105" s="304" t="s">
        <v>5</v>
      </c>
      <c r="G105" s="305"/>
      <c r="H105" s="306"/>
      <c r="I105" s="307"/>
      <c r="J105" s="85"/>
      <c r="K105" s="308">
        <f>H105*E103</f>
        <v>0</v>
      </c>
      <c r="L105" s="309"/>
      <c r="M105" s="91"/>
      <c r="N105" s="95"/>
      <c r="O105" s="308">
        <f>H105*150</f>
        <v>0</v>
      </c>
      <c r="P105" s="309"/>
      <c r="Q105" s="293"/>
      <c r="R105" s="302"/>
      <c r="S105" s="303"/>
      <c r="T105" s="78"/>
      <c r="U105" s="169"/>
      <c r="V105" s="6"/>
    </row>
    <row r="106" spans="2:22" ht="16.149999999999999" customHeight="1" thickBot="1" x14ac:dyDescent="0.3">
      <c r="B106" s="55" t="s">
        <v>12</v>
      </c>
      <c r="C106" s="69"/>
      <c r="D106" s="69"/>
      <c r="E106" s="82" t="s">
        <v>72</v>
      </c>
      <c r="F106" s="274" t="s">
        <v>1</v>
      </c>
      <c r="G106" s="275"/>
      <c r="H106" s="80">
        <v>60</v>
      </c>
      <c r="I106" s="74">
        <v>80</v>
      </c>
      <c r="J106" s="77" t="s">
        <v>52</v>
      </c>
      <c r="K106" s="329" t="s">
        <v>24</v>
      </c>
      <c r="L106" s="330"/>
      <c r="M106" s="86"/>
      <c r="N106" s="86"/>
      <c r="O106" s="274" t="s">
        <v>73</v>
      </c>
      <c r="P106" s="277"/>
      <c r="Q106" s="310" t="s">
        <v>90</v>
      </c>
      <c r="R106" s="311"/>
      <c r="S106" s="312"/>
      <c r="T106" s="79"/>
      <c r="U106" s="79"/>
      <c r="V106" s="6"/>
    </row>
    <row r="107" spans="2:22" ht="16.149999999999999" customHeight="1" x14ac:dyDescent="0.25">
      <c r="B107" s="316">
        <f>U36</f>
        <v>6</v>
      </c>
      <c r="C107" s="75"/>
      <c r="D107" s="76"/>
      <c r="E107" s="318">
        <v>120</v>
      </c>
      <c r="F107" s="320" t="s">
        <v>10</v>
      </c>
      <c r="G107" s="321"/>
      <c r="H107" s="170"/>
      <c r="I107" s="170"/>
      <c r="J107" s="14">
        <f>H107+I107</f>
        <v>0</v>
      </c>
      <c r="K107" s="322">
        <f>J107*E107</f>
        <v>0</v>
      </c>
      <c r="L107" s="323"/>
      <c r="M107" s="87"/>
      <c r="N107" s="92"/>
      <c r="O107" s="322">
        <f>H107*H106+I107*I106</f>
        <v>0</v>
      </c>
      <c r="P107" s="324"/>
      <c r="Q107" s="313"/>
      <c r="R107" s="314"/>
      <c r="S107" s="315"/>
      <c r="T107" s="79"/>
      <c r="U107" s="79"/>
      <c r="V107" s="6"/>
    </row>
    <row r="108" spans="2:22" ht="16.149999999999999" customHeight="1" thickBot="1" x14ac:dyDescent="0.3">
      <c r="B108" s="317"/>
      <c r="C108" s="75"/>
      <c r="D108" s="76"/>
      <c r="E108" s="319"/>
      <c r="F108" s="304" t="s">
        <v>9</v>
      </c>
      <c r="G108" s="305"/>
      <c r="H108" s="171"/>
      <c r="I108" s="171"/>
      <c r="J108" s="81">
        <f>H108+I108</f>
        <v>0</v>
      </c>
      <c r="K108" s="308">
        <f>J108*E107</f>
        <v>0</v>
      </c>
      <c r="L108" s="325"/>
      <c r="M108" s="88"/>
      <c r="N108" s="93"/>
      <c r="O108" s="308">
        <f>H108*H106+I108*I106</f>
        <v>0</v>
      </c>
      <c r="P108" s="309"/>
      <c r="Q108" s="313"/>
      <c r="R108" s="314"/>
      <c r="S108" s="315"/>
      <c r="T108" s="79"/>
      <c r="U108" s="79"/>
      <c r="V108" s="6"/>
    </row>
    <row r="109" spans="2:22" ht="16.149999999999999" customHeight="1" x14ac:dyDescent="0.25">
      <c r="B109" s="70" t="s">
        <v>74</v>
      </c>
      <c r="C109" s="75"/>
      <c r="D109" s="76"/>
      <c r="E109" s="318">
        <v>300</v>
      </c>
      <c r="F109" s="320" t="s">
        <v>6</v>
      </c>
      <c r="G109" s="321"/>
      <c r="H109" s="327"/>
      <c r="I109" s="328"/>
      <c r="J109" s="83"/>
      <c r="K109" s="322">
        <f>H109*E109</f>
        <v>0</v>
      </c>
      <c r="L109" s="324"/>
      <c r="M109" s="89"/>
      <c r="N109" s="92"/>
      <c r="O109" s="322">
        <f>H109*150</f>
        <v>0</v>
      </c>
      <c r="P109" s="324"/>
      <c r="Q109" s="313"/>
      <c r="R109" s="314"/>
      <c r="S109" s="315"/>
      <c r="T109" s="79"/>
      <c r="U109" s="79"/>
      <c r="V109" s="6"/>
    </row>
    <row r="110" spans="2:22" ht="16.149999999999999" customHeight="1" x14ac:dyDescent="0.25">
      <c r="B110" s="292">
        <f>O107+O108+O109+O110+O111</f>
        <v>0</v>
      </c>
      <c r="C110" s="75"/>
      <c r="D110" s="76"/>
      <c r="E110" s="326"/>
      <c r="F110" s="294" t="s">
        <v>4</v>
      </c>
      <c r="G110" s="295"/>
      <c r="H110" s="296"/>
      <c r="I110" s="297"/>
      <c r="J110" s="84"/>
      <c r="K110" s="298">
        <f>H110*E109</f>
        <v>0</v>
      </c>
      <c r="L110" s="299"/>
      <c r="M110" s="90"/>
      <c r="N110" s="94"/>
      <c r="O110" s="298">
        <f>H110*150</f>
        <v>0</v>
      </c>
      <c r="P110" s="299"/>
      <c r="Q110" s="292">
        <f>K107+K108+K109+K110+K111</f>
        <v>0</v>
      </c>
      <c r="R110" s="300"/>
      <c r="S110" s="301"/>
      <c r="T110" s="78"/>
      <c r="U110" s="78"/>
      <c r="V110" s="6"/>
    </row>
    <row r="111" spans="2:22" ht="16.149999999999999" customHeight="1" thickBot="1" x14ac:dyDescent="0.3">
      <c r="B111" s="293"/>
      <c r="C111" s="75"/>
      <c r="D111" s="76"/>
      <c r="E111" s="319"/>
      <c r="F111" s="304" t="s">
        <v>5</v>
      </c>
      <c r="G111" s="305"/>
      <c r="H111" s="306"/>
      <c r="I111" s="307"/>
      <c r="J111" s="85"/>
      <c r="K111" s="308">
        <f>H111*E109</f>
        <v>0</v>
      </c>
      <c r="L111" s="309"/>
      <c r="M111" s="91"/>
      <c r="N111" s="95"/>
      <c r="O111" s="308">
        <f>H111*150</f>
        <v>0</v>
      </c>
      <c r="P111" s="309"/>
      <c r="Q111" s="293"/>
      <c r="R111" s="302"/>
      <c r="S111" s="303"/>
      <c r="T111" s="78"/>
      <c r="U111" s="169"/>
      <c r="V111" s="6"/>
    </row>
    <row r="112" spans="2:22" ht="16.149999999999999" customHeight="1" thickBot="1" x14ac:dyDescent="0.3">
      <c r="B112" s="55" t="s">
        <v>12</v>
      </c>
      <c r="C112" s="69"/>
      <c r="D112" s="69"/>
      <c r="E112" s="82" t="s">
        <v>72</v>
      </c>
      <c r="F112" s="274" t="s">
        <v>1</v>
      </c>
      <c r="G112" s="275"/>
      <c r="H112" s="80">
        <v>60</v>
      </c>
      <c r="I112" s="74">
        <v>80</v>
      </c>
      <c r="J112" s="77" t="s">
        <v>52</v>
      </c>
      <c r="K112" s="329" t="s">
        <v>24</v>
      </c>
      <c r="L112" s="330"/>
      <c r="M112" s="86"/>
      <c r="N112" s="86"/>
      <c r="O112" s="274" t="s">
        <v>73</v>
      </c>
      <c r="P112" s="277"/>
      <c r="Q112" s="310" t="s">
        <v>90</v>
      </c>
      <c r="R112" s="311"/>
      <c r="S112" s="312"/>
      <c r="T112" s="79"/>
      <c r="U112" s="79"/>
      <c r="V112" s="6"/>
    </row>
    <row r="113" spans="1:26" ht="16.149999999999999" customHeight="1" x14ac:dyDescent="0.25">
      <c r="B113" s="316">
        <f>W36</f>
        <v>7</v>
      </c>
      <c r="C113" s="75"/>
      <c r="D113" s="76"/>
      <c r="E113" s="318">
        <v>120</v>
      </c>
      <c r="F113" s="320" t="s">
        <v>10</v>
      </c>
      <c r="G113" s="321"/>
      <c r="H113" s="170"/>
      <c r="I113" s="170"/>
      <c r="J113" s="14">
        <f>H113+I113</f>
        <v>0</v>
      </c>
      <c r="K113" s="322">
        <f>J113*E113</f>
        <v>0</v>
      </c>
      <c r="L113" s="323"/>
      <c r="M113" s="87"/>
      <c r="N113" s="92"/>
      <c r="O113" s="322">
        <f>H113*H112+I113*I112</f>
        <v>0</v>
      </c>
      <c r="P113" s="324"/>
      <c r="Q113" s="313"/>
      <c r="R113" s="314"/>
      <c r="S113" s="315"/>
      <c r="T113" s="79"/>
      <c r="U113" s="79"/>
      <c r="V113" s="6"/>
    </row>
    <row r="114" spans="1:26" ht="16.149999999999999" customHeight="1" thickBot="1" x14ac:dyDescent="0.3">
      <c r="B114" s="317"/>
      <c r="C114" s="75"/>
      <c r="D114" s="76"/>
      <c r="E114" s="319"/>
      <c r="F114" s="304" t="s">
        <v>9</v>
      </c>
      <c r="G114" s="305"/>
      <c r="H114" s="171"/>
      <c r="I114" s="171"/>
      <c r="J114" s="81">
        <f>H114+I114</f>
        <v>0</v>
      </c>
      <c r="K114" s="308">
        <f>J114*E113</f>
        <v>0</v>
      </c>
      <c r="L114" s="325"/>
      <c r="M114" s="88"/>
      <c r="N114" s="93"/>
      <c r="O114" s="308">
        <f>H114*H112+I114*I112</f>
        <v>0</v>
      </c>
      <c r="P114" s="309"/>
      <c r="Q114" s="313"/>
      <c r="R114" s="314"/>
      <c r="S114" s="315"/>
      <c r="T114" s="79"/>
      <c r="U114" s="79"/>
      <c r="V114" s="6"/>
    </row>
    <row r="115" spans="1:26" ht="16.149999999999999" customHeight="1" x14ac:dyDescent="0.25">
      <c r="B115" s="70" t="s">
        <v>74</v>
      </c>
      <c r="C115" s="75"/>
      <c r="D115" s="76"/>
      <c r="E115" s="318">
        <v>300</v>
      </c>
      <c r="F115" s="320" t="s">
        <v>6</v>
      </c>
      <c r="G115" s="321"/>
      <c r="H115" s="327"/>
      <c r="I115" s="328"/>
      <c r="J115" s="83"/>
      <c r="K115" s="322">
        <f>H115*E115</f>
        <v>0</v>
      </c>
      <c r="L115" s="324"/>
      <c r="M115" s="89"/>
      <c r="N115" s="92"/>
      <c r="O115" s="322">
        <f>H115*150</f>
        <v>0</v>
      </c>
      <c r="P115" s="324"/>
      <c r="Q115" s="313"/>
      <c r="R115" s="314"/>
      <c r="S115" s="315"/>
      <c r="T115" s="79"/>
      <c r="U115" s="79"/>
      <c r="V115" s="6"/>
    </row>
    <row r="116" spans="1:26" ht="16.149999999999999" customHeight="1" x14ac:dyDescent="0.25">
      <c r="B116" s="292">
        <f>O113+O114+O115+O116+O117</f>
        <v>0</v>
      </c>
      <c r="C116" s="75"/>
      <c r="D116" s="76"/>
      <c r="E116" s="326"/>
      <c r="F116" s="294" t="s">
        <v>4</v>
      </c>
      <c r="G116" s="295"/>
      <c r="H116" s="296"/>
      <c r="I116" s="297"/>
      <c r="J116" s="84"/>
      <c r="K116" s="298">
        <f>H116*E115</f>
        <v>0</v>
      </c>
      <c r="L116" s="299"/>
      <c r="M116" s="90"/>
      <c r="N116" s="94"/>
      <c r="O116" s="298">
        <f>H116*150</f>
        <v>0</v>
      </c>
      <c r="P116" s="299"/>
      <c r="Q116" s="292">
        <f>K113+K114+K115+K116+K117</f>
        <v>0</v>
      </c>
      <c r="R116" s="300"/>
      <c r="S116" s="301"/>
      <c r="T116" s="78"/>
      <c r="U116" s="78"/>
      <c r="V116" s="6"/>
    </row>
    <row r="117" spans="1:26" ht="16.149999999999999" customHeight="1" thickBot="1" x14ac:dyDescent="0.3">
      <c r="B117" s="293"/>
      <c r="C117" s="75"/>
      <c r="D117" s="76"/>
      <c r="E117" s="319"/>
      <c r="F117" s="304" t="s">
        <v>5</v>
      </c>
      <c r="G117" s="305"/>
      <c r="H117" s="306"/>
      <c r="I117" s="307"/>
      <c r="J117" s="85"/>
      <c r="K117" s="308">
        <f>H117*E115</f>
        <v>0</v>
      </c>
      <c r="L117" s="309"/>
      <c r="M117" s="91"/>
      <c r="N117" s="95"/>
      <c r="O117" s="308">
        <f>H117*150</f>
        <v>0</v>
      </c>
      <c r="P117" s="309"/>
      <c r="Q117" s="293"/>
      <c r="R117" s="302"/>
      <c r="S117" s="303"/>
      <c r="T117" s="78"/>
      <c r="U117" s="169"/>
      <c r="V117" s="6"/>
    </row>
    <row r="118" spans="1:26" ht="16.149999999999999" customHeight="1" thickBot="1" x14ac:dyDescent="0.3">
      <c r="B118" s="98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99"/>
      <c r="P118" s="100"/>
      <c r="Q118" s="101"/>
      <c r="R118" s="100"/>
      <c r="S118" s="101"/>
      <c r="T118" s="17"/>
      <c r="U118" s="7"/>
      <c r="V118" s="6"/>
    </row>
    <row r="119" spans="1:26" ht="19.899999999999999" customHeight="1" x14ac:dyDescent="0.25">
      <c r="B119" s="264">
        <f>B155</f>
        <v>46180</v>
      </c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6"/>
    </row>
    <row r="120" spans="1:26" ht="19.899999999999999" customHeight="1" thickBot="1" x14ac:dyDescent="0.3">
      <c r="B120" s="267" t="s">
        <v>75</v>
      </c>
      <c r="C120" s="268"/>
      <c r="D120" s="268"/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9"/>
    </row>
    <row r="121" spans="1:26" s="2" customFormat="1" ht="30" customHeight="1" thickBot="1" x14ac:dyDescent="0.3">
      <c r="B121" s="111" t="s">
        <v>1</v>
      </c>
      <c r="C121" s="142" t="s">
        <v>35</v>
      </c>
      <c r="D121" s="142" t="s">
        <v>34</v>
      </c>
      <c r="E121" s="289" t="s">
        <v>76</v>
      </c>
      <c r="F121" s="289"/>
      <c r="G121" s="289" t="s">
        <v>21</v>
      </c>
      <c r="H121" s="289"/>
      <c r="I121" s="290" t="s">
        <v>43</v>
      </c>
      <c r="J121" s="290"/>
      <c r="K121" s="291" t="s">
        <v>77</v>
      </c>
      <c r="L121" s="290"/>
      <c r="M121" s="142" t="s">
        <v>35</v>
      </c>
      <c r="N121" s="142" t="s">
        <v>34</v>
      </c>
      <c r="O121" s="289" t="s">
        <v>78</v>
      </c>
      <c r="P121" s="289"/>
      <c r="Q121" s="289" t="s">
        <v>79</v>
      </c>
      <c r="R121" s="289"/>
      <c r="S121" s="274" t="s">
        <v>92</v>
      </c>
      <c r="T121" s="275"/>
      <c r="U121" s="275"/>
      <c r="V121" s="275"/>
      <c r="W121" s="275"/>
      <c r="X121" s="275"/>
      <c r="Y121" s="275"/>
      <c r="Z121" s="277"/>
    </row>
    <row r="122" spans="1:26" ht="16.149999999999999" customHeight="1" thickBot="1" x14ac:dyDescent="0.3">
      <c r="A122" s="174">
        <f>Q122/6</f>
        <v>0</v>
      </c>
      <c r="B122" s="96" t="s">
        <v>10</v>
      </c>
      <c r="C122" s="104">
        <v>15</v>
      </c>
      <c r="D122" s="104">
        <v>30</v>
      </c>
      <c r="E122" s="287">
        <v>0</v>
      </c>
      <c r="F122" s="287"/>
      <c r="G122" s="260">
        <v>20</v>
      </c>
      <c r="H122" s="260"/>
      <c r="I122" s="287">
        <f>E4+G4+E13*6+E22*2+E38+G38+I38+K38+O38+Q38+S38+U38+W38+J71+J77+J83+J89+J95+J101+J107+J113</f>
        <v>0</v>
      </c>
      <c r="J122" s="287"/>
      <c r="K122" s="287">
        <f>E122+G122-I122</f>
        <v>20</v>
      </c>
      <c r="L122" s="287"/>
      <c r="M122" s="143">
        <f>K122*C122</f>
        <v>300</v>
      </c>
      <c r="N122" s="143">
        <f>K122*D122</f>
        <v>600</v>
      </c>
      <c r="O122" s="282">
        <v>20</v>
      </c>
      <c r="P122" s="282"/>
      <c r="Q122" s="288">
        <f>O122-K122</f>
        <v>0</v>
      </c>
      <c r="R122" s="288"/>
      <c r="S122" s="278"/>
      <c r="T122" s="279"/>
      <c r="U122" s="279"/>
      <c r="V122" s="279"/>
      <c r="W122" s="279"/>
      <c r="X122" s="279"/>
      <c r="Y122" s="279"/>
      <c r="Z122" s="280"/>
    </row>
    <row r="123" spans="1:26" ht="16.149999999999999" customHeight="1" thickBot="1" x14ac:dyDescent="0.3">
      <c r="A123" s="174">
        <f>Q123/6</f>
        <v>-0.16666666666666666</v>
      </c>
      <c r="B123" s="97" t="s">
        <v>9</v>
      </c>
      <c r="C123" s="105">
        <v>14</v>
      </c>
      <c r="D123" s="105">
        <v>30</v>
      </c>
      <c r="E123" s="281">
        <v>37</v>
      </c>
      <c r="F123" s="281"/>
      <c r="G123" s="260"/>
      <c r="H123" s="260"/>
      <c r="I123" s="281">
        <f>E5+G5+E14*6+E23*2+E39+G39+I39+K39+O39+Q39+S39+U39+W39+J72+J78+J84+J90+J96+J102+J108+J114</f>
        <v>0</v>
      </c>
      <c r="J123" s="281"/>
      <c r="K123" s="281">
        <f>E123+G123-I123</f>
        <v>37</v>
      </c>
      <c r="L123" s="281"/>
      <c r="M123" s="144">
        <f>K123*C123</f>
        <v>518</v>
      </c>
      <c r="N123" s="144">
        <f>K123*D123</f>
        <v>1110</v>
      </c>
      <c r="O123" s="282">
        <v>36</v>
      </c>
      <c r="P123" s="282"/>
      <c r="Q123" s="283">
        <f>O123-K123</f>
        <v>-1</v>
      </c>
      <c r="R123" s="283"/>
      <c r="S123" s="284"/>
      <c r="T123" s="285"/>
      <c r="U123" s="285"/>
      <c r="V123" s="285"/>
      <c r="W123" s="285"/>
      <c r="X123" s="285"/>
      <c r="Y123" s="285"/>
      <c r="Z123" s="286"/>
    </row>
    <row r="124" spans="1:26" ht="16.149999999999999" customHeight="1" thickBot="1" x14ac:dyDescent="0.3">
      <c r="A124" s="174">
        <f>Q124/6</f>
        <v>0</v>
      </c>
      <c r="B124" s="96" t="s">
        <v>7</v>
      </c>
      <c r="C124" s="104">
        <v>17</v>
      </c>
      <c r="D124" s="104">
        <v>35</v>
      </c>
      <c r="E124" s="287">
        <v>47</v>
      </c>
      <c r="F124" s="287"/>
      <c r="G124" s="260"/>
      <c r="H124" s="260"/>
      <c r="I124" s="287">
        <f>E6+G6+E15*6+E24*2+E40+G40+I40+K40+O40+Q40+S40+U40+W40</f>
        <v>10</v>
      </c>
      <c r="J124" s="287"/>
      <c r="K124" s="287">
        <f t="shared" ref="K124:K146" si="14">E124+G124-I124</f>
        <v>37</v>
      </c>
      <c r="L124" s="287"/>
      <c r="M124" s="143">
        <f t="shared" ref="M124:M151" si="15">K124*C124</f>
        <v>629</v>
      </c>
      <c r="N124" s="143">
        <f t="shared" ref="N124:N151" si="16">K124*D124</f>
        <v>1295</v>
      </c>
      <c r="O124" s="282">
        <v>37</v>
      </c>
      <c r="P124" s="282"/>
      <c r="Q124" s="288">
        <f t="shared" ref="Q124:Q146" si="17">O124-K124</f>
        <v>0</v>
      </c>
      <c r="R124" s="288"/>
      <c r="S124" s="278"/>
      <c r="T124" s="279"/>
      <c r="U124" s="279"/>
      <c r="V124" s="279"/>
      <c r="W124" s="279"/>
      <c r="X124" s="279"/>
      <c r="Y124" s="279"/>
      <c r="Z124" s="280"/>
    </row>
    <row r="125" spans="1:26" ht="16.149999999999999" customHeight="1" thickBot="1" x14ac:dyDescent="0.3">
      <c r="A125" s="174">
        <f>Q125/6</f>
        <v>0</v>
      </c>
      <c r="B125" s="97" t="s">
        <v>8</v>
      </c>
      <c r="C125" s="105">
        <v>17</v>
      </c>
      <c r="D125" s="105">
        <v>35</v>
      </c>
      <c r="E125" s="281">
        <v>44</v>
      </c>
      <c r="F125" s="281"/>
      <c r="G125" s="260"/>
      <c r="H125" s="260"/>
      <c r="I125" s="281">
        <f>E7+G7+E16*6+E25*2+E41+G41+I41+K41+O41+Q41+S41+U41+W41</f>
        <v>1</v>
      </c>
      <c r="J125" s="281"/>
      <c r="K125" s="281">
        <f t="shared" si="14"/>
        <v>43</v>
      </c>
      <c r="L125" s="281"/>
      <c r="M125" s="144">
        <f t="shared" si="15"/>
        <v>731</v>
      </c>
      <c r="N125" s="144">
        <f t="shared" si="16"/>
        <v>1505</v>
      </c>
      <c r="O125" s="282">
        <v>43</v>
      </c>
      <c r="P125" s="282"/>
      <c r="Q125" s="283">
        <f t="shared" si="17"/>
        <v>0</v>
      </c>
      <c r="R125" s="283"/>
      <c r="S125" s="284"/>
      <c r="T125" s="285"/>
      <c r="U125" s="285"/>
      <c r="V125" s="285"/>
      <c r="W125" s="285"/>
      <c r="X125" s="285"/>
      <c r="Y125" s="285"/>
      <c r="Z125" s="286"/>
    </row>
    <row r="126" spans="1:26" ht="16.149999999999999" customHeight="1" thickBot="1" x14ac:dyDescent="0.3">
      <c r="A126" s="174">
        <f>Q126/3</f>
        <v>0</v>
      </c>
      <c r="B126" s="96" t="s">
        <v>6</v>
      </c>
      <c r="C126" s="104">
        <v>37</v>
      </c>
      <c r="D126" s="104">
        <v>70</v>
      </c>
      <c r="E126" s="287">
        <v>34</v>
      </c>
      <c r="F126" s="287"/>
      <c r="G126" s="260"/>
      <c r="H126" s="260"/>
      <c r="I126" s="287">
        <f>E8+G8+E17*3++E42+G42+I42+K42+O42+Q42+S42+U42+W42+H73+H79+H85+H91+H97+H103+H109+H115</f>
        <v>7</v>
      </c>
      <c r="J126" s="287"/>
      <c r="K126" s="287">
        <f t="shared" si="14"/>
        <v>27</v>
      </c>
      <c r="L126" s="287"/>
      <c r="M126" s="143">
        <f t="shared" si="15"/>
        <v>999</v>
      </c>
      <c r="N126" s="143">
        <f t="shared" si="16"/>
        <v>1890</v>
      </c>
      <c r="O126" s="282">
        <v>27</v>
      </c>
      <c r="P126" s="282"/>
      <c r="Q126" s="288">
        <f t="shared" si="17"/>
        <v>0</v>
      </c>
      <c r="R126" s="288"/>
      <c r="S126" s="278"/>
      <c r="T126" s="279"/>
      <c r="U126" s="279"/>
      <c r="V126" s="279"/>
      <c r="W126" s="279"/>
      <c r="X126" s="279"/>
      <c r="Y126" s="279"/>
      <c r="Z126" s="280"/>
    </row>
    <row r="127" spans="1:26" ht="16.149999999999999" customHeight="1" thickBot="1" x14ac:dyDescent="0.3">
      <c r="A127" s="174">
        <f>Q127/3</f>
        <v>-0.33333333333333331</v>
      </c>
      <c r="B127" s="97" t="s">
        <v>5</v>
      </c>
      <c r="C127" s="105">
        <v>35</v>
      </c>
      <c r="D127" s="105">
        <v>60</v>
      </c>
      <c r="E127" s="281">
        <v>11</v>
      </c>
      <c r="F127" s="281"/>
      <c r="G127" s="260">
        <v>24</v>
      </c>
      <c r="H127" s="260"/>
      <c r="I127" s="281">
        <f>E9+G9+E18*3+E43+G43+I43+K43+O43+Q43+S43+U43+W43++H75+H81+H87+H93+H99+H105+H111+H117</f>
        <v>11</v>
      </c>
      <c r="J127" s="281"/>
      <c r="K127" s="281">
        <f t="shared" si="14"/>
        <v>24</v>
      </c>
      <c r="L127" s="281"/>
      <c r="M127" s="144">
        <f t="shared" si="15"/>
        <v>840</v>
      </c>
      <c r="N127" s="144">
        <f t="shared" si="16"/>
        <v>1440</v>
      </c>
      <c r="O127" s="282">
        <v>23</v>
      </c>
      <c r="P127" s="282"/>
      <c r="Q127" s="283">
        <f t="shared" si="17"/>
        <v>-1</v>
      </c>
      <c r="R127" s="283"/>
      <c r="S127" s="284" t="s">
        <v>98</v>
      </c>
      <c r="T127" s="285"/>
      <c r="U127" s="285"/>
      <c r="V127" s="285"/>
      <c r="W127" s="285"/>
      <c r="X127" s="285"/>
      <c r="Y127" s="285"/>
      <c r="Z127" s="286"/>
    </row>
    <row r="128" spans="1:26" ht="16.149999999999999" customHeight="1" thickBot="1" x14ac:dyDescent="0.3">
      <c r="A128" s="174">
        <f>Q128/3</f>
        <v>0</v>
      </c>
      <c r="B128" s="96" t="s">
        <v>4</v>
      </c>
      <c r="C128" s="104">
        <v>35</v>
      </c>
      <c r="D128" s="104">
        <v>60</v>
      </c>
      <c r="E128" s="287">
        <v>19</v>
      </c>
      <c r="F128" s="287"/>
      <c r="G128" s="260"/>
      <c r="H128" s="260"/>
      <c r="I128" s="287">
        <f>E10+G10+E19*3+E44+G44+I44+K44+O44+Q44+S44+U44+W44+H74+H80+H86+H92+H98+H104+H110+H116</f>
        <v>1</v>
      </c>
      <c r="J128" s="287"/>
      <c r="K128" s="287">
        <f t="shared" si="14"/>
        <v>18</v>
      </c>
      <c r="L128" s="287"/>
      <c r="M128" s="143">
        <f t="shared" si="15"/>
        <v>630</v>
      </c>
      <c r="N128" s="143">
        <f t="shared" si="16"/>
        <v>1080</v>
      </c>
      <c r="O128" s="282">
        <v>18</v>
      </c>
      <c r="P128" s="282"/>
      <c r="Q128" s="288">
        <f t="shared" si="17"/>
        <v>0</v>
      </c>
      <c r="R128" s="288"/>
      <c r="S128" s="278"/>
      <c r="T128" s="279"/>
      <c r="U128" s="279"/>
      <c r="V128" s="279"/>
      <c r="W128" s="279"/>
      <c r="X128" s="279"/>
      <c r="Y128" s="279"/>
      <c r="Z128" s="280"/>
    </row>
    <row r="129" spans="1:26" ht="16.149999999999999" customHeight="1" thickBot="1" x14ac:dyDescent="0.3">
      <c r="A129" s="174">
        <f>Q129/3</f>
        <v>0</v>
      </c>
      <c r="B129" s="97" t="s">
        <v>2</v>
      </c>
      <c r="C129" s="105">
        <v>41</v>
      </c>
      <c r="D129" s="105">
        <v>80</v>
      </c>
      <c r="E129" s="281">
        <v>45</v>
      </c>
      <c r="F129" s="281"/>
      <c r="G129" s="260"/>
      <c r="H129" s="260"/>
      <c r="I129" s="281">
        <f>E11+G11+E20*3+E45+G45+I45+K45+O45+Q45+S45+U45+W45</f>
        <v>5</v>
      </c>
      <c r="J129" s="281"/>
      <c r="K129" s="281">
        <f t="shared" si="14"/>
        <v>40</v>
      </c>
      <c r="L129" s="281"/>
      <c r="M129" s="144">
        <f t="shared" si="15"/>
        <v>1640</v>
      </c>
      <c r="N129" s="144">
        <f t="shared" si="16"/>
        <v>3200</v>
      </c>
      <c r="O129" s="282">
        <v>40</v>
      </c>
      <c r="P129" s="282"/>
      <c r="Q129" s="283">
        <f t="shared" si="17"/>
        <v>0</v>
      </c>
      <c r="R129" s="283"/>
      <c r="S129" s="284"/>
      <c r="T129" s="285"/>
      <c r="U129" s="285"/>
      <c r="V129" s="285"/>
      <c r="W129" s="285"/>
      <c r="X129" s="285"/>
      <c r="Y129" s="285"/>
      <c r="Z129" s="286"/>
    </row>
    <row r="130" spans="1:26" ht="16.149999999999999" customHeight="1" thickBot="1" x14ac:dyDescent="0.3">
      <c r="A130" s="174">
        <f>Q130/3</f>
        <v>0</v>
      </c>
      <c r="B130" s="96" t="s">
        <v>3</v>
      </c>
      <c r="C130" s="104">
        <v>41</v>
      </c>
      <c r="D130" s="104">
        <v>80</v>
      </c>
      <c r="E130" s="287">
        <v>22</v>
      </c>
      <c r="F130" s="287"/>
      <c r="G130" s="260"/>
      <c r="H130" s="260"/>
      <c r="I130" s="287">
        <f>E12+G12+E21*3+E46+G46+I46+K46+O46+Q46+S46+U46+W46</f>
        <v>0</v>
      </c>
      <c r="J130" s="287"/>
      <c r="K130" s="287">
        <f t="shared" si="14"/>
        <v>22</v>
      </c>
      <c r="L130" s="287"/>
      <c r="M130" s="143">
        <f t="shared" si="15"/>
        <v>902</v>
      </c>
      <c r="N130" s="143">
        <f t="shared" si="16"/>
        <v>1760</v>
      </c>
      <c r="O130" s="282">
        <v>22</v>
      </c>
      <c r="P130" s="282"/>
      <c r="Q130" s="288">
        <f t="shared" si="17"/>
        <v>0</v>
      </c>
      <c r="R130" s="288"/>
      <c r="S130" s="278"/>
      <c r="T130" s="279"/>
      <c r="U130" s="279"/>
      <c r="V130" s="279"/>
      <c r="W130" s="279"/>
      <c r="X130" s="279"/>
      <c r="Y130" s="279"/>
      <c r="Z130" s="280"/>
    </row>
    <row r="131" spans="1:26" ht="16.149999999999999" customHeight="1" thickBot="1" x14ac:dyDescent="0.3">
      <c r="B131" s="97" t="s">
        <v>14</v>
      </c>
      <c r="C131" s="105">
        <v>6</v>
      </c>
      <c r="D131" s="105">
        <v>10</v>
      </c>
      <c r="E131" s="281">
        <v>49</v>
      </c>
      <c r="F131" s="281"/>
      <c r="G131" s="260"/>
      <c r="H131" s="260"/>
      <c r="I131" s="281">
        <f>O4+E47+G47+I47+K47+O47+Q47+S47+U47+W47</f>
        <v>0</v>
      </c>
      <c r="J131" s="281"/>
      <c r="K131" s="281">
        <f t="shared" si="14"/>
        <v>49</v>
      </c>
      <c r="L131" s="281"/>
      <c r="M131" s="144">
        <f t="shared" si="15"/>
        <v>294</v>
      </c>
      <c r="N131" s="144">
        <f t="shared" si="16"/>
        <v>490</v>
      </c>
      <c r="O131" s="282">
        <v>18</v>
      </c>
      <c r="P131" s="282"/>
      <c r="Q131" s="283">
        <f t="shared" si="17"/>
        <v>-31</v>
      </c>
      <c r="R131" s="283"/>
      <c r="S131" s="284"/>
      <c r="T131" s="285"/>
      <c r="U131" s="285"/>
      <c r="V131" s="285"/>
      <c r="W131" s="285"/>
      <c r="X131" s="285"/>
      <c r="Y131" s="285"/>
      <c r="Z131" s="286"/>
    </row>
    <row r="132" spans="1:26" ht="16.149999999999999" customHeight="1" thickBot="1" x14ac:dyDescent="0.3">
      <c r="B132" s="96" t="s">
        <v>48</v>
      </c>
      <c r="C132" s="104">
        <v>13</v>
      </c>
      <c r="D132" s="104">
        <v>25</v>
      </c>
      <c r="E132" s="287">
        <v>15</v>
      </c>
      <c r="F132" s="287"/>
      <c r="G132" s="260"/>
      <c r="H132" s="260"/>
      <c r="I132" s="287">
        <f>O5+Q5+E48+G48+I48+K48+O48+Q48+S48+U48+W48</f>
        <v>0</v>
      </c>
      <c r="J132" s="287"/>
      <c r="K132" s="287">
        <f t="shared" si="14"/>
        <v>15</v>
      </c>
      <c r="L132" s="287"/>
      <c r="M132" s="143">
        <f t="shared" si="15"/>
        <v>195</v>
      </c>
      <c r="N132" s="143">
        <f t="shared" si="16"/>
        <v>375</v>
      </c>
      <c r="O132" s="282">
        <v>15</v>
      </c>
      <c r="P132" s="282"/>
      <c r="Q132" s="288">
        <f t="shared" si="17"/>
        <v>0</v>
      </c>
      <c r="R132" s="288"/>
      <c r="S132" s="278"/>
      <c r="T132" s="279"/>
      <c r="U132" s="279"/>
      <c r="V132" s="279"/>
      <c r="W132" s="279"/>
      <c r="X132" s="279"/>
      <c r="Y132" s="279"/>
      <c r="Z132" s="280"/>
    </row>
    <row r="133" spans="1:26" ht="16.149999999999999" customHeight="1" thickBot="1" x14ac:dyDescent="0.3">
      <c r="B133" s="97" t="s">
        <v>17</v>
      </c>
      <c r="C133" s="105">
        <v>11</v>
      </c>
      <c r="D133" s="105">
        <v>35</v>
      </c>
      <c r="E133" s="281">
        <v>5</v>
      </c>
      <c r="F133" s="281"/>
      <c r="G133" s="260">
        <v>3</v>
      </c>
      <c r="H133" s="260"/>
      <c r="I133" s="281">
        <f>O6+Q6+E49+G49+I49+K49+O49+Q49+S49+U49+W49</f>
        <v>0</v>
      </c>
      <c r="J133" s="281"/>
      <c r="K133" s="281">
        <f t="shared" si="14"/>
        <v>8</v>
      </c>
      <c r="L133" s="281"/>
      <c r="M133" s="144">
        <f t="shared" si="15"/>
        <v>88</v>
      </c>
      <c r="N133" s="144">
        <f t="shared" si="16"/>
        <v>280</v>
      </c>
      <c r="O133" s="282">
        <v>8</v>
      </c>
      <c r="P133" s="282"/>
      <c r="Q133" s="283">
        <f t="shared" si="17"/>
        <v>0</v>
      </c>
      <c r="R133" s="283"/>
      <c r="S133" s="284"/>
      <c r="T133" s="285"/>
      <c r="U133" s="285"/>
      <c r="V133" s="285"/>
      <c r="W133" s="285"/>
      <c r="X133" s="285"/>
      <c r="Y133" s="285"/>
      <c r="Z133" s="286"/>
    </row>
    <row r="134" spans="1:26" ht="16.149999999999999" customHeight="1" thickBot="1" x14ac:dyDescent="0.3">
      <c r="B134" s="96" t="s">
        <v>18</v>
      </c>
      <c r="C134" s="104">
        <v>10</v>
      </c>
      <c r="D134" s="104">
        <v>15</v>
      </c>
      <c r="E134" s="287">
        <v>5</v>
      </c>
      <c r="F134" s="287"/>
      <c r="G134" s="260"/>
      <c r="H134" s="260"/>
      <c r="I134" s="287">
        <f>O7+Q7+E50+G50+I50+K50+O50+Q50+S50+U50+W50</f>
        <v>1</v>
      </c>
      <c r="J134" s="287"/>
      <c r="K134" s="287">
        <f t="shared" si="14"/>
        <v>4</v>
      </c>
      <c r="L134" s="287"/>
      <c r="M134" s="143">
        <f t="shared" si="15"/>
        <v>40</v>
      </c>
      <c r="N134" s="143">
        <f t="shared" si="16"/>
        <v>60</v>
      </c>
      <c r="O134" s="282">
        <v>4</v>
      </c>
      <c r="P134" s="282"/>
      <c r="Q134" s="288">
        <f t="shared" si="17"/>
        <v>0</v>
      </c>
      <c r="R134" s="288"/>
      <c r="S134" s="278"/>
      <c r="T134" s="279"/>
      <c r="U134" s="279"/>
      <c r="V134" s="279"/>
      <c r="W134" s="279"/>
      <c r="X134" s="279"/>
      <c r="Y134" s="279"/>
      <c r="Z134" s="280"/>
    </row>
    <row r="135" spans="1:26" ht="16.149999999999999" customHeight="1" thickBot="1" x14ac:dyDescent="0.3">
      <c r="B135" s="97" t="s">
        <v>50</v>
      </c>
      <c r="C135" s="105">
        <v>14.8</v>
      </c>
      <c r="D135" s="105">
        <v>35</v>
      </c>
      <c r="E135" s="281">
        <v>11</v>
      </c>
      <c r="F135" s="281"/>
      <c r="G135" s="260"/>
      <c r="H135" s="260"/>
      <c r="I135" s="281">
        <f>O9+Q9+E51+G51+I51+K51+O51+Q51+S51+U51+W51</f>
        <v>0</v>
      </c>
      <c r="J135" s="281"/>
      <c r="K135" s="281">
        <f t="shared" si="14"/>
        <v>11</v>
      </c>
      <c r="L135" s="281"/>
      <c r="M135" s="144">
        <f t="shared" si="15"/>
        <v>162.80000000000001</v>
      </c>
      <c r="N135" s="144">
        <f t="shared" si="16"/>
        <v>385</v>
      </c>
      <c r="O135" s="282">
        <v>11</v>
      </c>
      <c r="P135" s="282"/>
      <c r="Q135" s="283">
        <f t="shared" si="17"/>
        <v>0</v>
      </c>
      <c r="R135" s="283"/>
      <c r="S135" s="284"/>
      <c r="T135" s="285"/>
      <c r="U135" s="285"/>
      <c r="V135" s="285"/>
      <c r="W135" s="285"/>
      <c r="X135" s="285"/>
      <c r="Y135" s="285"/>
      <c r="Z135" s="286"/>
    </row>
    <row r="136" spans="1:26" ht="16.149999999999999" customHeight="1" thickBot="1" x14ac:dyDescent="0.3">
      <c r="B136" s="96" t="s">
        <v>15</v>
      </c>
      <c r="C136" s="104">
        <v>13</v>
      </c>
      <c r="D136" s="104">
        <v>20</v>
      </c>
      <c r="E136" s="287">
        <v>4</v>
      </c>
      <c r="F136" s="287"/>
      <c r="G136" s="260"/>
      <c r="H136" s="260"/>
      <c r="I136" s="287">
        <f>O10+Q10+E52+G52+I52+K52+O52+Q52+S52+U52+W52</f>
        <v>1</v>
      </c>
      <c r="J136" s="287"/>
      <c r="K136" s="287">
        <f t="shared" si="14"/>
        <v>3</v>
      </c>
      <c r="L136" s="287"/>
      <c r="M136" s="143">
        <f t="shared" si="15"/>
        <v>39</v>
      </c>
      <c r="N136" s="143">
        <f t="shared" si="16"/>
        <v>60</v>
      </c>
      <c r="O136" s="282">
        <v>3</v>
      </c>
      <c r="P136" s="282"/>
      <c r="Q136" s="288">
        <f t="shared" si="17"/>
        <v>0</v>
      </c>
      <c r="R136" s="288"/>
      <c r="S136" s="278"/>
      <c r="T136" s="279"/>
      <c r="U136" s="279"/>
      <c r="V136" s="279"/>
      <c r="W136" s="279"/>
      <c r="X136" s="279"/>
      <c r="Y136" s="279"/>
      <c r="Z136" s="280"/>
    </row>
    <row r="137" spans="1:26" ht="16.149999999999999" customHeight="1" thickBot="1" x14ac:dyDescent="0.3">
      <c r="B137" s="97" t="s">
        <v>16</v>
      </c>
      <c r="C137" s="105">
        <v>11</v>
      </c>
      <c r="D137" s="105">
        <v>20</v>
      </c>
      <c r="E137" s="281">
        <v>7</v>
      </c>
      <c r="F137" s="281"/>
      <c r="G137" s="260"/>
      <c r="H137" s="260"/>
      <c r="I137" s="281">
        <f>O11+Q11+E53+G53+I53+K53+O53+Q53+S53+U53+W53</f>
        <v>0</v>
      </c>
      <c r="J137" s="281"/>
      <c r="K137" s="281">
        <f t="shared" si="14"/>
        <v>7</v>
      </c>
      <c r="L137" s="281"/>
      <c r="M137" s="144">
        <f t="shared" si="15"/>
        <v>77</v>
      </c>
      <c r="N137" s="144">
        <f t="shared" si="16"/>
        <v>140</v>
      </c>
      <c r="O137" s="282">
        <v>7</v>
      </c>
      <c r="P137" s="282"/>
      <c r="Q137" s="283">
        <f t="shared" si="17"/>
        <v>0</v>
      </c>
      <c r="R137" s="283"/>
      <c r="S137" s="284"/>
      <c r="T137" s="285"/>
      <c r="U137" s="285"/>
      <c r="V137" s="285"/>
      <c r="W137" s="285"/>
      <c r="X137" s="285"/>
      <c r="Y137" s="285"/>
      <c r="Z137" s="286"/>
    </row>
    <row r="138" spans="1:26" ht="16.149999999999999" customHeight="1" thickBot="1" x14ac:dyDescent="0.3">
      <c r="B138" s="96" t="s">
        <v>22</v>
      </c>
      <c r="C138" s="104">
        <v>10</v>
      </c>
      <c r="D138" s="104">
        <v>20</v>
      </c>
      <c r="E138" s="287">
        <v>3</v>
      </c>
      <c r="F138" s="287"/>
      <c r="G138" s="260"/>
      <c r="H138" s="260"/>
      <c r="I138" s="287">
        <f>O12+Q12+E54+G54+I54+K54+O54+Q54+S54+U54+W54</f>
        <v>0</v>
      </c>
      <c r="J138" s="287"/>
      <c r="K138" s="287">
        <f t="shared" si="14"/>
        <v>3</v>
      </c>
      <c r="L138" s="287"/>
      <c r="M138" s="143">
        <f t="shared" si="15"/>
        <v>30</v>
      </c>
      <c r="N138" s="143">
        <f t="shared" si="16"/>
        <v>60</v>
      </c>
      <c r="O138" s="282">
        <v>3</v>
      </c>
      <c r="P138" s="282"/>
      <c r="Q138" s="288">
        <f t="shared" si="17"/>
        <v>0</v>
      </c>
      <c r="R138" s="288"/>
      <c r="S138" s="278"/>
      <c r="T138" s="279"/>
      <c r="U138" s="279"/>
      <c r="V138" s="279"/>
      <c r="W138" s="279"/>
      <c r="X138" s="279"/>
      <c r="Y138" s="279"/>
      <c r="Z138" s="280"/>
    </row>
    <row r="139" spans="1:26" ht="16.149999999999999" customHeight="1" thickBot="1" x14ac:dyDescent="0.3">
      <c r="B139" s="97" t="s">
        <v>32</v>
      </c>
      <c r="C139" s="105">
        <v>40</v>
      </c>
      <c r="D139" s="105">
        <v>60</v>
      </c>
      <c r="E139" s="281">
        <v>2</v>
      </c>
      <c r="F139" s="281"/>
      <c r="G139" s="260"/>
      <c r="H139" s="260"/>
      <c r="I139" s="281">
        <f>O13+E55+G55+I55+K55+O55+Q55+S55+U55+W55</f>
        <v>0</v>
      </c>
      <c r="J139" s="281"/>
      <c r="K139" s="281">
        <f t="shared" si="14"/>
        <v>2</v>
      </c>
      <c r="L139" s="281"/>
      <c r="M139" s="144">
        <f t="shared" si="15"/>
        <v>80</v>
      </c>
      <c r="N139" s="144">
        <f t="shared" si="16"/>
        <v>120</v>
      </c>
      <c r="O139" s="282">
        <v>2</v>
      </c>
      <c r="P139" s="282"/>
      <c r="Q139" s="283">
        <f t="shared" si="17"/>
        <v>0</v>
      </c>
      <c r="R139" s="283"/>
      <c r="S139" s="284"/>
      <c r="T139" s="285"/>
      <c r="U139" s="285"/>
      <c r="V139" s="285"/>
      <c r="W139" s="285"/>
      <c r="X139" s="285"/>
      <c r="Y139" s="285"/>
      <c r="Z139" s="286"/>
    </row>
    <row r="140" spans="1:26" ht="16.149999999999999" customHeight="1" thickBot="1" x14ac:dyDescent="0.3">
      <c r="B140" s="96" t="s">
        <v>67</v>
      </c>
      <c r="C140" s="104">
        <v>25</v>
      </c>
      <c r="D140" s="104">
        <v>45</v>
      </c>
      <c r="E140" s="287">
        <v>1</v>
      </c>
      <c r="F140" s="287"/>
      <c r="G140" s="260"/>
      <c r="H140" s="260"/>
      <c r="I140" s="287">
        <f>O14+E56+G56+I56+K56+O56+Q56+S56+U56+W56</f>
        <v>0</v>
      </c>
      <c r="J140" s="287"/>
      <c r="K140" s="287">
        <f t="shared" si="14"/>
        <v>1</v>
      </c>
      <c r="L140" s="287"/>
      <c r="M140" s="143">
        <f t="shared" si="15"/>
        <v>25</v>
      </c>
      <c r="N140" s="143">
        <f t="shared" si="16"/>
        <v>45</v>
      </c>
      <c r="O140" s="282">
        <v>1</v>
      </c>
      <c r="P140" s="282"/>
      <c r="Q140" s="288">
        <f t="shared" si="17"/>
        <v>0</v>
      </c>
      <c r="R140" s="288"/>
      <c r="S140" s="278"/>
      <c r="T140" s="279"/>
      <c r="U140" s="279"/>
      <c r="V140" s="279"/>
      <c r="W140" s="279"/>
      <c r="X140" s="279"/>
      <c r="Y140" s="279"/>
      <c r="Z140" s="280"/>
    </row>
    <row r="141" spans="1:26" ht="16.149999999999999" customHeight="1" thickBot="1" x14ac:dyDescent="0.3">
      <c r="B141" s="97" t="s">
        <v>66</v>
      </c>
      <c r="C141" s="105">
        <v>25</v>
      </c>
      <c r="D141" s="105">
        <v>45</v>
      </c>
      <c r="E141" s="281">
        <v>3</v>
      </c>
      <c r="F141" s="281"/>
      <c r="G141" s="260"/>
      <c r="H141" s="260"/>
      <c r="I141" s="281">
        <f>O15+E57+G57+I57+K57+O57+Q57+S57+U57+W57</f>
        <v>0</v>
      </c>
      <c r="J141" s="281"/>
      <c r="K141" s="281">
        <f t="shared" si="14"/>
        <v>3</v>
      </c>
      <c r="L141" s="281"/>
      <c r="M141" s="144">
        <f t="shared" si="15"/>
        <v>75</v>
      </c>
      <c r="N141" s="144">
        <f t="shared" si="16"/>
        <v>135</v>
      </c>
      <c r="O141" s="282">
        <v>3</v>
      </c>
      <c r="P141" s="282"/>
      <c r="Q141" s="283">
        <f t="shared" si="17"/>
        <v>0</v>
      </c>
      <c r="R141" s="283"/>
      <c r="S141" s="284"/>
      <c r="T141" s="285"/>
      <c r="U141" s="285"/>
      <c r="V141" s="285"/>
      <c r="W141" s="285"/>
      <c r="X141" s="285"/>
      <c r="Y141" s="285"/>
      <c r="Z141" s="286"/>
    </row>
    <row r="142" spans="1:26" ht="16.149999999999999" customHeight="1" thickBot="1" x14ac:dyDescent="0.3">
      <c r="B142" s="96" t="s">
        <v>25</v>
      </c>
      <c r="C142" s="104">
        <v>27</v>
      </c>
      <c r="D142" s="104">
        <v>45</v>
      </c>
      <c r="E142" s="287">
        <v>3</v>
      </c>
      <c r="F142" s="287"/>
      <c r="G142" s="260"/>
      <c r="H142" s="260"/>
      <c r="I142" s="287">
        <f>O16+Q16+E58+G58+I58+K58+O58+Q58+S58+U58+W58</f>
        <v>0</v>
      </c>
      <c r="J142" s="287"/>
      <c r="K142" s="287">
        <f t="shared" si="14"/>
        <v>3</v>
      </c>
      <c r="L142" s="287"/>
      <c r="M142" s="143">
        <f t="shared" si="15"/>
        <v>81</v>
      </c>
      <c r="N142" s="143">
        <f t="shared" si="16"/>
        <v>135</v>
      </c>
      <c r="O142" s="282">
        <v>3</v>
      </c>
      <c r="P142" s="282"/>
      <c r="Q142" s="288">
        <f t="shared" si="17"/>
        <v>0</v>
      </c>
      <c r="R142" s="288"/>
      <c r="S142" s="278"/>
      <c r="T142" s="279"/>
      <c r="U142" s="279"/>
      <c r="V142" s="279"/>
      <c r="W142" s="279"/>
      <c r="X142" s="279"/>
      <c r="Y142" s="279"/>
      <c r="Z142" s="280"/>
    </row>
    <row r="143" spans="1:26" ht="16.149999999999999" customHeight="1" thickBot="1" x14ac:dyDescent="0.3">
      <c r="B143" s="97" t="s">
        <v>20</v>
      </c>
      <c r="C143" s="105">
        <v>14</v>
      </c>
      <c r="D143" s="105">
        <v>35</v>
      </c>
      <c r="E143" s="281">
        <v>1</v>
      </c>
      <c r="F143" s="281"/>
      <c r="G143" s="260"/>
      <c r="H143" s="260"/>
      <c r="I143" s="281">
        <f>O19+Q19+E59+G59+I59+K59+O59+Q59+S59+U59+W59</f>
        <v>0</v>
      </c>
      <c r="J143" s="281"/>
      <c r="K143" s="281">
        <f t="shared" si="14"/>
        <v>1</v>
      </c>
      <c r="L143" s="281"/>
      <c r="M143" s="144">
        <f t="shared" si="15"/>
        <v>14</v>
      </c>
      <c r="N143" s="144">
        <f t="shared" si="16"/>
        <v>35</v>
      </c>
      <c r="O143" s="282">
        <v>1</v>
      </c>
      <c r="P143" s="282"/>
      <c r="Q143" s="283">
        <f t="shared" si="17"/>
        <v>0</v>
      </c>
      <c r="R143" s="283"/>
      <c r="S143" s="284"/>
      <c r="T143" s="285"/>
      <c r="U143" s="285"/>
      <c r="V143" s="285"/>
      <c r="W143" s="285"/>
      <c r="X143" s="285"/>
      <c r="Y143" s="285"/>
      <c r="Z143" s="286"/>
    </row>
    <row r="144" spans="1:26" ht="16.149999999999999" customHeight="1" thickBot="1" x14ac:dyDescent="0.3">
      <c r="B144" s="96" t="s">
        <v>49</v>
      </c>
      <c r="C144" s="104">
        <v>8</v>
      </c>
      <c r="D144" s="104">
        <v>15</v>
      </c>
      <c r="E144" s="287">
        <v>6</v>
      </c>
      <c r="F144" s="287"/>
      <c r="G144" s="260"/>
      <c r="H144" s="260"/>
      <c r="I144" s="287">
        <f>O21+Q21+E61+G61+I61+K61+O61+Q61+S61+U61+W61</f>
        <v>0</v>
      </c>
      <c r="J144" s="287"/>
      <c r="K144" s="287">
        <f t="shared" si="14"/>
        <v>6</v>
      </c>
      <c r="L144" s="287"/>
      <c r="M144" s="143">
        <f t="shared" si="15"/>
        <v>48</v>
      </c>
      <c r="N144" s="143">
        <f t="shared" si="16"/>
        <v>90</v>
      </c>
      <c r="O144" s="282">
        <v>6</v>
      </c>
      <c r="P144" s="282"/>
      <c r="Q144" s="288">
        <f t="shared" si="17"/>
        <v>0</v>
      </c>
      <c r="R144" s="288"/>
      <c r="S144" s="278"/>
      <c r="T144" s="279"/>
      <c r="U144" s="279"/>
      <c r="V144" s="279"/>
      <c r="W144" s="279"/>
      <c r="X144" s="279"/>
      <c r="Y144" s="279"/>
      <c r="Z144" s="280"/>
    </row>
    <row r="145" spans="2:26" ht="16.149999999999999" customHeight="1" thickBot="1" x14ac:dyDescent="0.3">
      <c r="B145" s="97" t="s">
        <v>44</v>
      </c>
      <c r="C145" s="105">
        <v>28</v>
      </c>
      <c r="D145" s="105">
        <v>50</v>
      </c>
      <c r="E145" s="281">
        <v>0</v>
      </c>
      <c r="F145" s="281"/>
      <c r="G145" s="260"/>
      <c r="H145" s="260"/>
      <c r="I145" s="281">
        <f>O22+Q22+E62+G62+I62+K62+O62+Q62+S62+U62+W62</f>
        <v>0</v>
      </c>
      <c r="J145" s="281"/>
      <c r="K145" s="281">
        <f t="shared" si="14"/>
        <v>0</v>
      </c>
      <c r="L145" s="281"/>
      <c r="M145" s="144">
        <f t="shared" si="15"/>
        <v>0</v>
      </c>
      <c r="N145" s="144">
        <f t="shared" si="16"/>
        <v>0</v>
      </c>
      <c r="O145" s="282">
        <v>0</v>
      </c>
      <c r="P145" s="282"/>
      <c r="Q145" s="283">
        <f t="shared" si="17"/>
        <v>0</v>
      </c>
      <c r="R145" s="283"/>
      <c r="S145" s="284"/>
      <c r="T145" s="285"/>
      <c r="U145" s="285"/>
      <c r="V145" s="285"/>
      <c r="W145" s="285"/>
      <c r="X145" s="285"/>
      <c r="Y145" s="285"/>
      <c r="Z145" s="286"/>
    </row>
    <row r="146" spans="2:26" ht="16.149999999999999" customHeight="1" thickBot="1" x14ac:dyDescent="0.3">
      <c r="B146" s="96" t="s">
        <v>47</v>
      </c>
      <c r="C146" s="104">
        <v>17</v>
      </c>
      <c r="D146" s="104">
        <v>35</v>
      </c>
      <c r="E146" s="287">
        <v>16</v>
      </c>
      <c r="F146" s="287"/>
      <c r="G146" s="260"/>
      <c r="H146" s="260"/>
      <c r="I146" s="287">
        <f>O24+Q24</f>
        <v>0</v>
      </c>
      <c r="J146" s="287"/>
      <c r="K146" s="287">
        <f t="shared" si="14"/>
        <v>16</v>
      </c>
      <c r="L146" s="287"/>
      <c r="M146" s="143">
        <f t="shared" si="15"/>
        <v>272</v>
      </c>
      <c r="N146" s="143">
        <f t="shared" si="16"/>
        <v>560</v>
      </c>
      <c r="O146" s="282">
        <v>16</v>
      </c>
      <c r="P146" s="282"/>
      <c r="Q146" s="288">
        <f t="shared" si="17"/>
        <v>0</v>
      </c>
      <c r="R146" s="288"/>
      <c r="S146" s="278"/>
      <c r="T146" s="279"/>
      <c r="U146" s="279"/>
      <c r="V146" s="279"/>
      <c r="W146" s="279"/>
      <c r="X146" s="279"/>
      <c r="Y146" s="279"/>
      <c r="Z146" s="280"/>
    </row>
    <row r="147" spans="2:26" ht="16.149999999999999" customHeight="1" thickBot="1" x14ac:dyDescent="0.3">
      <c r="B147" s="97"/>
      <c r="C147" s="105"/>
      <c r="D147" s="105"/>
      <c r="E147" s="281"/>
      <c r="F147" s="281"/>
      <c r="G147" s="260"/>
      <c r="H147" s="260"/>
      <c r="I147" s="281"/>
      <c r="J147" s="281"/>
      <c r="K147" s="281"/>
      <c r="L147" s="281"/>
      <c r="M147" s="144">
        <f t="shared" si="15"/>
        <v>0</v>
      </c>
      <c r="N147" s="144">
        <f t="shared" si="16"/>
        <v>0</v>
      </c>
      <c r="O147" s="282"/>
      <c r="P147" s="282"/>
      <c r="Q147" s="283"/>
      <c r="R147" s="283"/>
      <c r="S147" s="284"/>
      <c r="T147" s="285"/>
      <c r="U147" s="285"/>
      <c r="V147" s="285"/>
      <c r="W147" s="285"/>
      <c r="X147" s="285"/>
      <c r="Y147" s="285"/>
      <c r="Z147" s="286"/>
    </row>
    <row r="148" spans="2:26" ht="16.149999999999999" customHeight="1" thickBot="1" x14ac:dyDescent="0.3">
      <c r="B148" s="96"/>
      <c r="C148" s="104"/>
      <c r="D148" s="104"/>
      <c r="E148" s="287"/>
      <c r="F148" s="287"/>
      <c r="G148" s="260"/>
      <c r="H148" s="260"/>
      <c r="I148" s="287"/>
      <c r="J148" s="287"/>
      <c r="K148" s="287"/>
      <c r="L148" s="287"/>
      <c r="M148" s="143">
        <f t="shared" si="15"/>
        <v>0</v>
      </c>
      <c r="N148" s="143">
        <f t="shared" si="16"/>
        <v>0</v>
      </c>
      <c r="O148" s="282"/>
      <c r="P148" s="282"/>
      <c r="Q148" s="288"/>
      <c r="R148" s="288"/>
      <c r="S148" s="278"/>
      <c r="T148" s="279"/>
      <c r="U148" s="279"/>
      <c r="V148" s="279"/>
      <c r="W148" s="279"/>
      <c r="X148" s="279"/>
      <c r="Y148" s="279"/>
      <c r="Z148" s="280"/>
    </row>
    <row r="149" spans="2:26" ht="16.149999999999999" customHeight="1" thickBot="1" x14ac:dyDescent="0.3">
      <c r="B149" s="97"/>
      <c r="C149" s="105"/>
      <c r="D149" s="105"/>
      <c r="E149" s="281"/>
      <c r="F149" s="281"/>
      <c r="G149" s="260"/>
      <c r="H149" s="260"/>
      <c r="I149" s="281"/>
      <c r="J149" s="281"/>
      <c r="K149" s="281"/>
      <c r="L149" s="281"/>
      <c r="M149" s="144">
        <f t="shared" si="15"/>
        <v>0</v>
      </c>
      <c r="N149" s="144">
        <f t="shared" si="16"/>
        <v>0</v>
      </c>
      <c r="O149" s="282"/>
      <c r="P149" s="282"/>
      <c r="Q149" s="283"/>
      <c r="R149" s="283"/>
      <c r="S149" s="284"/>
      <c r="T149" s="285"/>
      <c r="U149" s="285"/>
      <c r="V149" s="285"/>
      <c r="W149" s="285"/>
      <c r="X149" s="285"/>
      <c r="Y149" s="285"/>
      <c r="Z149" s="286"/>
    </row>
    <row r="150" spans="2:26" ht="16.149999999999999" customHeight="1" thickBot="1" x14ac:dyDescent="0.3">
      <c r="B150" s="96"/>
      <c r="C150" s="104"/>
      <c r="D150" s="104"/>
      <c r="E150" s="287"/>
      <c r="F150" s="287"/>
      <c r="G150" s="260"/>
      <c r="H150" s="260"/>
      <c r="I150" s="287"/>
      <c r="J150" s="287"/>
      <c r="K150" s="287"/>
      <c r="L150" s="287"/>
      <c r="M150" s="143">
        <f t="shared" si="15"/>
        <v>0</v>
      </c>
      <c r="N150" s="143">
        <f t="shared" si="16"/>
        <v>0</v>
      </c>
      <c r="O150" s="282"/>
      <c r="P150" s="282"/>
      <c r="Q150" s="288"/>
      <c r="R150" s="288"/>
      <c r="S150" s="278"/>
      <c r="T150" s="279"/>
      <c r="U150" s="279"/>
      <c r="V150" s="279"/>
      <c r="W150" s="279"/>
      <c r="X150" s="279"/>
      <c r="Y150" s="279"/>
      <c r="Z150" s="280"/>
    </row>
    <row r="151" spans="2:26" ht="16.149999999999999" customHeight="1" thickBot="1" x14ac:dyDescent="0.3">
      <c r="B151" s="97"/>
      <c r="C151" s="105"/>
      <c r="D151" s="105"/>
      <c r="E151" s="281"/>
      <c r="F151" s="281"/>
      <c r="G151" s="260"/>
      <c r="H151" s="260"/>
      <c r="I151" s="281"/>
      <c r="J151" s="281"/>
      <c r="K151" s="281"/>
      <c r="L151" s="281"/>
      <c r="M151" s="144">
        <f t="shared" si="15"/>
        <v>0</v>
      </c>
      <c r="N151" s="144">
        <f t="shared" si="16"/>
        <v>0</v>
      </c>
      <c r="O151" s="282"/>
      <c r="P151" s="282"/>
      <c r="Q151" s="283"/>
      <c r="R151" s="283"/>
      <c r="S151" s="284"/>
      <c r="T151" s="285"/>
      <c r="U151" s="285"/>
      <c r="V151" s="285"/>
      <c r="W151" s="285"/>
      <c r="X151" s="285"/>
      <c r="Y151" s="285"/>
      <c r="Z151" s="286"/>
    </row>
    <row r="152" spans="2:26" ht="16.149999999999999" customHeight="1" thickBot="1" x14ac:dyDescent="0.3">
      <c r="B152" s="146"/>
      <c r="C152" s="63"/>
      <c r="D152" s="63"/>
      <c r="E152" s="3"/>
      <c r="F152" s="3"/>
      <c r="G152" s="3"/>
      <c r="H152" s="3"/>
      <c r="I152" s="3"/>
      <c r="J152" s="3"/>
      <c r="K152" s="3"/>
      <c r="L152" s="3"/>
      <c r="M152" s="145">
        <f>SUM(M122:M151)</f>
        <v>8709.7999999999993</v>
      </c>
      <c r="N152" s="145">
        <f>SUM(N122:N151)</f>
        <v>16850</v>
      </c>
      <c r="O152" s="6"/>
      <c r="P152" s="6"/>
      <c r="Q152" s="18"/>
      <c r="R152" s="18"/>
      <c r="S152" s="18"/>
      <c r="T152" s="17"/>
      <c r="U152" s="7"/>
      <c r="V152" s="6"/>
    </row>
    <row r="153" spans="2:26" ht="16.149999999999999" customHeight="1" x14ac:dyDescent="0.25">
      <c r="B153" s="3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6"/>
      <c r="P153" s="17"/>
      <c r="Q153" s="18"/>
      <c r="R153" s="17"/>
      <c r="S153" s="18"/>
      <c r="T153" s="17"/>
      <c r="U153" s="7"/>
      <c r="V153" s="6"/>
    </row>
    <row r="154" spans="2:26" ht="16.149999999999999" customHeight="1" thickBot="1" x14ac:dyDescent="0.3">
      <c r="B154" s="98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99"/>
      <c r="P154" s="100"/>
      <c r="Q154" s="101"/>
      <c r="R154" s="100"/>
      <c r="S154" s="101"/>
      <c r="T154" s="100"/>
      <c r="U154" s="7"/>
      <c r="V154" s="6"/>
    </row>
    <row r="155" spans="2:26" ht="19.899999999999999" customHeight="1" x14ac:dyDescent="0.25">
      <c r="B155" s="264">
        <v>46180</v>
      </c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6"/>
      <c r="U155" s="7"/>
      <c r="V155" s="6"/>
    </row>
    <row r="156" spans="2:26" ht="19.899999999999999" customHeight="1" thickBot="1" x14ac:dyDescent="0.3">
      <c r="B156" s="267" t="s">
        <v>80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9"/>
      <c r="U156" s="7"/>
      <c r="V156" s="6"/>
    </row>
    <row r="157" spans="2:26" ht="19.899999999999999" customHeight="1" thickBot="1" x14ac:dyDescent="0.3">
      <c r="B157" s="270" t="s">
        <v>23</v>
      </c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7"/>
      <c r="V157" s="6"/>
    </row>
    <row r="158" spans="2:26" ht="16.149999999999999" customHeight="1" thickBot="1" x14ac:dyDescent="0.3">
      <c r="B158" s="123" t="s">
        <v>12</v>
      </c>
      <c r="C158" s="124"/>
      <c r="D158" s="125"/>
      <c r="E158" s="272" t="s">
        <v>83</v>
      </c>
      <c r="F158" s="273"/>
      <c r="G158" s="272" t="s">
        <v>73</v>
      </c>
      <c r="H158" s="273"/>
      <c r="I158" s="272" t="s">
        <v>81</v>
      </c>
      <c r="J158" s="273"/>
      <c r="K158" s="272" t="s">
        <v>82</v>
      </c>
      <c r="L158" s="273"/>
      <c r="M158" s="112"/>
      <c r="N158" s="113"/>
      <c r="O158" s="274" t="s">
        <v>31</v>
      </c>
      <c r="P158" s="275"/>
      <c r="Q158" s="275"/>
      <c r="R158" s="276"/>
      <c r="S158" s="274" t="s">
        <v>0</v>
      </c>
      <c r="T158" s="277"/>
      <c r="U158" s="6"/>
      <c r="V158" s="6"/>
    </row>
    <row r="159" spans="2:26" ht="16.149999999999999" customHeight="1" x14ac:dyDescent="0.25">
      <c r="B159" s="127" t="str">
        <f>G36</f>
        <v>NUBIA</v>
      </c>
      <c r="C159" s="126"/>
      <c r="D159" s="126"/>
      <c r="E159" s="244">
        <v>650</v>
      </c>
      <c r="F159" s="244"/>
      <c r="G159" s="213">
        <f>B74</f>
        <v>0</v>
      </c>
      <c r="H159" s="213"/>
      <c r="I159" s="213">
        <f>H66</f>
        <v>13</v>
      </c>
      <c r="J159" s="213"/>
      <c r="K159" s="213">
        <f>E159+G159-I159</f>
        <v>637</v>
      </c>
      <c r="L159" s="214"/>
      <c r="M159" s="119"/>
      <c r="N159" s="115"/>
      <c r="O159" s="262" t="s">
        <v>100</v>
      </c>
      <c r="P159" s="263"/>
      <c r="Q159" s="263"/>
      <c r="R159" s="263"/>
      <c r="S159" s="244">
        <v>475</v>
      </c>
      <c r="T159" s="245"/>
      <c r="U159" s="7"/>
      <c r="V159" s="6"/>
    </row>
    <row r="160" spans="2:26" ht="16.149999999999999" customHeight="1" x14ac:dyDescent="0.25">
      <c r="B160" s="128" t="str">
        <f>I36</f>
        <v>MARCE</v>
      </c>
      <c r="C160" s="107"/>
      <c r="D160" s="107"/>
      <c r="E160" s="256">
        <v>400</v>
      </c>
      <c r="F160" s="256"/>
      <c r="G160" s="257">
        <f>B80</f>
        <v>0</v>
      </c>
      <c r="H160" s="257"/>
      <c r="I160" s="257">
        <f>J66</f>
        <v>74</v>
      </c>
      <c r="J160" s="257"/>
      <c r="K160" s="257">
        <f t="shared" ref="K160:K166" si="18">E160+G160-I160</f>
        <v>326</v>
      </c>
      <c r="L160" s="258"/>
      <c r="M160" s="119"/>
      <c r="N160" s="115"/>
      <c r="O160" s="259"/>
      <c r="P160" s="260"/>
      <c r="Q160" s="260"/>
      <c r="R160" s="260"/>
      <c r="S160" s="256"/>
      <c r="T160" s="261"/>
      <c r="U160" s="7"/>
      <c r="V160" s="6"/>
    </row>
    <row r="161" spans="2:25" ht="16.149999999999999" customHeight="1" x14ac:dyDescent="0.25">
      <c r="B161" s="128" t="str">
        <f>K36</f>
        <v>ISELA</v>
      </c>
      <c r="C161" s="107"/>
      <c r="D161" s="107"/>
      <c r="E161" s="256"/>
      <c r="F161" s="256"/>
      <c r="G161" s="257">
        <f>B86</f>
        <v>0</v>
      </c>
      <c r="H161" s="257"/>
      <c r="I161" s="257">
        <f>L66</f>
        <v>0</v>
      </c>
      <c r="J161" s="257"/>
      <c r="K161" s="257">
        <f t="shared" si="18"/>
        <v>0</v>
      </c>
      <c r="L161" s="258"/>
      <c r="M161" s="119"/>
      <c r="N161" s="115"/>
      <c r="O161" s="259"/>
      <c r="P161" s="260"/>
      <c r="Q161" s="260"/>
      <c r="R161" s="260"/>
      <c r="S161" s="256"/>
      <c r="T161" s="261"/>
      <c r="U161" s="7"/>
      <c r="V161" s="6"/>
    </row>
    <row r="162" spans="2:25" ht="16.149999999999999" customHeight="1" x14ac:dyDescent="0.25">
      <c r="B162" s="128" t="str">
        <f>O36</f>
        <v>VIKY</v>
      </c>
      <c r="C162" s="107"/>
      <c r="D162" s="107"/>
      <c r="E162" s="256"/>
      <c r="F162" s="256"/>
      <c r="G162" s="257">
        <f>B92</f>
        <v>0</v>
      </c>
      <c r="H162" s="257"/>
      <c r="I162" s="257">
        <f>P66</f>
        <v>0</v>
      </c>
      <c r="J162" s="257"/>
      <c r="K162" s="257">
        <f t="shared" si="18"/>
        <v>0</v>
      </c>
      <c r="L162" s="258"/>
      <c r="M162" s="119"/>
      <c r="N162" s="115"/>
      <c r="O162" s="259"/>
      <c r="P162" s="260"/>
      <c r="Q162" s="260"/>
      <c r="R162" s="260"/>
      <c r="S162" s="256"/>
      <c r="T162" s="261"/>
      <c r="U162" s="7"/>
      <c r="V162" s="6"/>
    </row>
    <row r="163" spans="2:25" ht="16.149999999999999" customHeight="1" x14ac:dyDescent="0.25">
      <c r="B163" s="128">
        <f>Q36</f>
        <v>4</v>
      </c>
      <c r="C163" s="107"/>
      <c r="D163" s="107"/>
      <c r="E163" s="256"/>
      <c r="F163" s="256"/>
      <c r="G163" s="257">
        <f>B98</f>
        <v>0</v>
      </c>
      <c r="H163" s="257"/>
      <c r="I163" s="257">
        <f>R66</f>
        <v>0</v>
      </c>
      <c r="J163" s="257"/>
      <c r="K163" s="257">
        <f t="shared" si="18"/>
        <v>0</v>
      </c>
      <c r="L163" s="258"/>
      <c r="M163" s="119"/>
      <c r="N163" s="115"/>
      <c r="O163" s="259"/>
      <c r="P163" s="260"/>
      <c r="Q163" s="260"/>
      <c r="R163" s="260"/>
      <c r="S163" s="256"/>
      <c r="T163" s="261"/>
      <c r="U163" s="7"/>
      <c r="V163" s="6"/>
    </row>
    <row r="164" spans="2:25" ht="15" customHeight="1" x14ac:dyDescent="0.25">
      <c r="B164" s="128">
        <f>S36</f>
        <v>5</v>
      </c>
      <c r="C164" s="109"/>
      <c r="D164" s="108"/>
      <c r="E164" s="256"/>
      <c r="F164" s="256"/>
      <c r="G164" s="257">
        <f>B104</f>
        <v>0</v>
      </c>
      <c r="H164" s="257"/>
      <c r="I164" s="257">
        <f>T66</f>
        <v>0</v>
      </c>
      <c r="J164" s="257"/>
      <c r="K164" s="257">
        <f t="shared" si="18"/>
        <v>0</v>
      </c>
      <c r="L164" s="258"/>
      <c r="M164" s="120"/>
      <c r="N164" s="116"/>
      <c r="O164" s="259"/>
      <c r="P164" s="260"/>
      <c r="Q164" s="260"/>
      <c r="R164" s="260"/>
      <c r="S164" s="256"/>
      <c r="T164" s="261"/>
      <c r="U164" s="3"/>
      <c r="V164" s="8"/>
    </row>
    <row r="165" spans="2:25" s="1" customFormat="1" x14ac:dyDescent="0.25">
      <c r="B165" s="128">
        <f>U36</f>
        <v>6</v>
      </c>
      <c r="C165" s="110"/>
      <c r="D165" s="110"/>
      <c r="E165" s="256"/>
      <c r="F165" s="256"/>
      <c r="G165" s="257">
        <f>B110</f>
        <v>0</v>
      </c>
      <c r="H165" s="257"/>
      <c r="I165" s="257">
        <f>V66</f>
        <v>0</v>
      </c>
      <c r="J165" s="257"/>
      <c r="K165" s="257">
        <f t="shared" si="18"/>
        <v>0</v>
      </c>
      <c r="L165" s="258"/>
      <c r="M165" s="121"/>
      <c r="N165" s="117"/>
      <c r="O165" s="259"/>
      <c r="P165" s="260"/>
      <c r="Q165" s="260"/>
      <c r="R165" s="260"/>
      <c r="S165" s="256"/>
      <c r="T165" s="261"/>
    </row>
    <row r="166" spans="2:25" s="1" customFormat="1" ht="15.75" thickBot="1" x14ac:dyDescent="0.3">
      <c r="B166" s="133">
        <f>W36</f>
        <v>7</v>
      </c>
      <c r="C166" s="114"/>
      <c r="D166" s="114"/>
      <c r="E166" s="251"/>
      <c r="F166" s="251"/>
      <c r="G166" s="218">
        <f>B116</f>
        <v>0</v>
      </c>
      <c r="H166" s="218"/>
      <c r="I166" s="218">
        <f>X66</f>
        <v>0</v>
      </c>
      <c r="J166" s="218"/>
      <c r="K166" s="218">
        <f t="shared" si="18"/>
        <v>0</v>
      </c>
      <c r="L166" s="252"/>
      <c r="M166" s="122"/>
      <c r="N166" s="118"/>
      <c r="O166" s="253"/>
      <c r="P166" s="254"/>
      <c r="Q166" s="254"/>
      <c r="R166" s="254"/>
      <c r="S166" s="251"/>
      <c r="T166" s="255"/>
    </row>
    <row r="167" spans="2:25" x14ac:dyDescent="0.25">
      <c r="B167" s="238" t="s">
        <v>24</v>
      </c>
      <c r="C167" s="131"/>
      <c r="D167" s="131"/>
      <c r="E167" s="240">
        <f>G32+H66+J66+L66+P66+R66+T66+V66+X66+Q74+Q80+Q86+Q92+Q98+Q104+Q110+Q116</f>
        <v>1747</v>
      </c>
      <c r="F167" s="241"/>
      <c r="G167" s="243" t="s">
        <v>85</v>
      </c>
      <c r="H167" s="243"/>
      <c r="I167" s="244"/>
      <c r="J167" s="245"/>
      <c r="K167" s="246" t="s">
        <v>23</v>
      </c>
      <c r="L167" s="247"/>
      <c r="M167" s="129"/>
      <c r="N167" s="130"/>
      <c r="O167" s="250">
        <f>E159+E160+E161+E162+E163+E164+E165+E166+G159+G160+G161+G162+G163+G164+G165+G166+S159+S160+S161+S162+S163+S164+S165+S166</f>
        <v>1525</v>
      </c>
      <c r="P167" s="247"/>
      <c r="Q167" s="230" t="s">
        <v>85</v>
      </c>
      <c r="R167" s="230"/>
      <c r="S167" s="212">
        <v>0</v>
      </c>
      <c r="T167" s="231"/>
      <c r="W167" s="174"/>
      <c r="X167" s="174"/>
      <c r="Y167" s="176"/>
    </row>
    <row r="168" spans="2:25" s="1" customFormat="1" ht="15.75" thickBot="1" x14ac:dyDescent="0.3">
      <c r="B168" s="239"/>
      <c r="C168" s="132"/>
      <c r="D168" s="132"/>
      <c r="E168" s="242"/>
      <c r="F168" s="242"/>
      <c r="G168" s="232" t="s">
        <v>86</v>
      </c>
      <c r="H168" s="232"/>
      <c r="I168" s="233">
        <f>E167-I167</f>
        <v>1747</v>
      </c>
      <c r="J168" s="234"/>
      <c r="K168" s="248"/>
      <c r="L168" s="249"/>
      <c r="M168" s="135"/>
      <c r="N168" s="136"/>
      <c r="O168" s="249"/>
      <c r="P168" s="249"/>
      <c r="Q168" s="235" t="s">
        <v>86</v>
      </c>
      <c r="R168" s="235"/>
      <c r="S168" s="236">
        <f>O167-S167</f>
        <v>1525</v>
      </c>
      <c r="T168" s="237"/>
      <c r="W168" s="175"/>
      <c r="X168" s="175"/>
      <c r="Y168" s="177"/>
    </row>
    <row r="169" spans="2:25" s="1" customFormat="1" x14ac:dyDescent="0.25">
      <c r="B169" s="222" t="s">
        <v>87</v>
      </c>
      <c r="C169" s="20"/>
      <c r="D169" s="20"/>
      <c r="E169" s="213">
        <v>1264</v>
      </c>
      <c r="F169" s="224"/>
      <c r="G169" s="226" t="s">
        <v>85</v>
      </c>
      <c r="H169" s="226"/>
      <c r="I169" s="213">
        <v>0</v>
      </c>
      <c r="J169" s="227"/>
      <c r="K169" s="222" t="s">
        <v>88</v>
      </c>
      <c r="L169" s="224"/>
      <c r="M169" s="137"/>
      <c r="N169" s="137"/>
      <c r="O169" s="226" t="s">
        <v>85</v>
      </c>
      <c r="P169" s="226"/>
      <c r="Q169" s="212"/>
      <c r="R169" s="212"/>
      <c r="S169" s="213">
        <f>Q169+Q170</f>
        <v>0</v>
      </c>
      <c r="T169" s="214"/>
    </row>
    <row r="170" spans="2:25" s="1" customFormat="1" ht="15.75" thickBot="1" x14ac:dyDescent="0.3">
      <c r="B170" s="223"/>
      <c r="C170" s="20"/>
      <c r="D170" s="20"/>
      <c r="E170" s="225"/>
      <c r="F170" s="225"/>
      <c r="G170" s="217" t="s">
        <v>86</v>
      </c>
      <c r="H170" s="217"/>
      <c r="I170" s="218">
        <v>1264</v>
      </c>
      <c r="J170" s="219"/>
      <c r="K170" s="228"/>
      <c r="L170" s="229"/>
      <c r="M170" s="138"/>
      <c r="N170" s="139"/>
      <c r="O170" s="220" t="s">
        <v>86</v>
      </c>
      <c r="P170" s="220"/>
      <c r="Q170" s="221"/>
      <c r="R170" s="221"/>
      <c r="S170" s="215"/>
      <c r="T170" s="216"/>
    </row>
    <row r="171" spans="2:25" ht="14.45" customHeight="1" x14ac:dyDescent="0.25">
      <c r="B171" s="201" t="s">
        <v>89</v>
      </c>
      <c r="C171" s="140"/>
      <c r="D171" s="140"/>
      <c r="E171" s="203">
        <f>E167-O167+E169-S169</f>
        <v>1486</v>
      </c>
      <c r="F171" s="204"/>
      <c r="G171" s="207" t="s">
        <v>85</v>
      </c>
      <c r="H171" s="207"/>
      <c r="I171" s="208">
        <f>I167-S167+I169-Q169</f>
        <v>0</v>
      </c>
      <c r="J171" s="209"/>
      <c r="K171" s="188" t="s">
        <v>96</v>
      </c>
      <c r="L171" s="189"/>
      <c r="M171" s="172"/>
      <c r="N171" s="172"/>
      <c r="O171" s="210"/>
      <c r="P171" s="211"/>
      <c r="Q171" s="188" t="s">
        <v>91</v>
      </c>
      <c r="R171" s="189"/>
      <c r="S171" s="192">
        <f>O171-I171</f>
        <v>0</v>
      </c>
      <c r="T171" s="193"/>
    </row>
    <row r="172" spans="2:25" ht="15.75" thickBot="1" x14ac:dyDescent="0.3">
      <c r="B172" s="202"/>
      <c r="C172" s="141"/>
      <c r="D172" s="141"/>
      <c r="E172" s="205"/>
      <c r="F172" s="206"/>
      <c r="G172" s="194" t="s">
        <v>86</v>
      </c>
      <c r="H172" s="194"/>
      <c r="I172" s="195">
        <f>I168-S168+I170-Q170</f>
        <v>1486</v>
      </c>
      <c r="J172" s="196"/>
      <c r="K172" s="190"/>
      <c r="L172" s="191"/>
      <c r="M172" s="173"/>
      <c r="N172" s="173"/>
      <c r="O172" s="197">
        <v>1486</v>
      </c>
      <c r="P172" s="198"/>
      <c r="Q172" s="190"/>
      <c r="R172" s="191"/>
      <c r="S172" s="199">
        <f>O172-I172</f>
        <v>0</v>
      </c>
      <c r="T172" s="200"/>
    </row>
    <row r="173" spans="2:25" ht="15.75" thickBot="1" x14ac:dyDescent="0.3"/>
    <row r="174" spans="2:25" ht="15.75" thickBot="1" x14ac:dyDescent="0.3">
      <c r="B174" s="181" t="s">
        <v>94</v>
      </c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3">
        <f>240+60</f>
        <v>300</v>
      </c>
      <c r="U174" s="183"/>
      <c r="V174" s="184"/>
    </row>
    <row r="175" spans="2:25" ht="15.75" thickBot="1" x14ac:dyDescent="0.3">
      <c r="B175" s="185" t="s">
        <v>95</v>
      </c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6"/>
      <c r="V175" s="187"/>
    </row>
    <row r="176" spans="2:25" ht="15.75" thickBot="1" x14ac:dyDescent="0.3">
      <c r="B176" s="178" t="s">
        <v>93</v>
      </c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80"/>
    </row>
    <row r="177" spans="2:22" ht="15.75" thickBot="1" x14ac:dyDescent="0.3">
      <c r="B177" s="178" t="s">
        <v>99</v>
      </c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80"/>
    </row>
    <row r="178" spans="2:22" ht="15.75" thickBot="1" x14ac:dyDescent="0.3">
      <c r="B178" s="178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80"/>
    </row>
    <row r="179" spans="2:22" ht="15.75" thickBot="1" x14ac:dyDescent="0.3">
      <c r="B179" s="178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80"/>
    </row>
    <row r="180" spans="2:22" ht="15.75" thickBot="1" x14ac:dyDescent="0.3">
      <c r="B180" s="178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80"/>
    </row>
    <row r="181" spans="2:22" ht="15.75" thickBot="1" x14ac:dyDescent="0.3">
      <c r="B181" s="178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80"/>
    </row>
    <row r="182" spans="2:22" ht="15.75" thickBot="1" x14ac:dyDescent="0.3">
      <c r="B182" s="178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80"/>
    </row>
  </sheetData>
  <mergeCells count="592">
    <mergeCell ref="I5:L5"/>
    <mergeCell ref="I6:L6"/>
    <mergeCell ref="I7:L7"/>
    <mergeCell ref="I8:L8"/>
    <mergeCell ref="I9:L9"/>
    <mergeCell ref="I10:L10"/>
    <mergeCell ref="B1:R1"/>
    <mergeCell ref="B2:R2"/>
    <mergeCell ref="G3:H3"/>
    <mergeCell ref="I3:L3"/>
    <mergeCell ref="Q3:R3"/>
    <mergeCell ref="I4:L4"/>
    <mergeCell ref="I17:L17"/>
    <mergeCell ref="I18:L18"/>
    <mergeCell ref="I19:L19"/>
    <mergeCell ref="I20:L20"/>
    <mergeCell ref="I21:L21"/>
    <mergeCell ref="I22:L22"/>
    <mergeCell ref="I11:L11"/>
    <mergeCell ref="I12:L12"/>
    <mergeCell ref="I13:L13"/>
    <mergeCell ref="I14:L14"/>
    <mergeCell ref="I15:L15"/>
    <mergeCell ref="I16:L16"/>
    <mergeCell ref="I29:L29"/>
    <mergeCell ref="I30:L30"/>
    <mergeCell ref="I31:L31"/>
    <mergeCell ref="B32:F32"/>
    <mergeCell ref="G32:H32"/>
    <mergeCell ref="I32:P32"/>
    <mergeCell ref="I23:L23"/>
    <mergeCell ref="I24:L24"/>
    <mergeCell ref="I25:L25"/>
    <mergeCell ref="I26:L26"/>
    <mergeCell ref="I27:L27"/>
    <mergeCell ref="I28:L28"/>
    <mergeCell ref="K36:L36"/>
    <mergeCell ref="O36:P36"/>
    <mergeCell ref="Q36:R36"/>
    <mergeCell ref="S36:T36"/>
    <mergeCell ref="U36:V36"/>
    <mergeCell ref="W36:X36"/>
    <mergeCell ref="Q32:R32"/>
    <mergeCell ref="B33:R33"/>
    <mergeCell ref="B34:X34"/>
    <mergeCell ref="B35:X35"/>
    <mergeCell ref="B36:B37"/>
    <mergeCell ref="C36:C37"/>
    <mergeCell ref="D36:D37"/>
    <mergeCell ref="E36:F36"/>
    <mergeCell ref="G36:H36"/>
    <mergeCell ref="I36:J36"/>
    <mergeCell ref="B68:S68"/>
    <mergeCell ref="B69:S69"/>
    <mergeCell ref="F70:G70"/>
    <mergeCell ref="K70:L70"/>
    <mergeCell ref="O70:P70"/>
    <mergeCell ref="Q70:S73"/>
    <mergeCell ref="B71:B72"/>
    <mergeCell ref="E71:E72"/>
    <mergeCell ref="F71:G71"/>
    <mergeCell ref="K71:L71"/>
    <mergeCell ref="O71:P71"/>
    <mergeCell ref="F72:G72"/>
    <mergeCell ref="K72:L72"/>
    <mergeCell ref="O72:P72"/>
    <mergeCell ref="E73:E75"/>
    <mergeCell ref="F73:G73"/>
    <mergeCell ref="H73:I73"/>
    <mergeCell ref="K73:L73"/>
    <mergeCell ref="O73:P73"/>
    <mergeCell ref="Q76:S79"/>
    <mergeCell ref="B77:B78"/>
    <mergeCell ref="E77:E78"/>
    <mergeCell ref="F77:G77"/>
    <mergeCell ref="K77:L77"/>
    <mergeCell ref="O77:P77"/>
    <mergeCell ref="F78:G78"/>
    <mergeCell ref="B74:B75"/>
    <mergeCell ref="F74:G74"/>
    <mergeCell ref="H74:I74"/>
    <mergeCell ref="K74:L74"/>
    <mergeCell ref="O74:P74"/>
    <mergeCell ref="Q74:S75"/>
    <mergeCell ref="F75:G75"/>
    <mergeCell ref="H75:I75"/>
    <mergeCell ref="K75:L75"/>
    <mergeCell ref="O75:P75"/>
    <mergeCell ref="K78:L78"/>
    <mergeCell ref="O78:P78"/>
    <mergeCell ref="E79:E81"/>
    <mergeCell ref="F79:G79"/>
    <mergeCell ref="H79:I79"/>
    <mergeCell ref="K79:L79"/>
    <mergeCell ref="O79:P79"/>
    <mergeCell ref="F76:G76"/>
    <mergeCell ref="K76:L76"/>
    <mergeCell ref="O76:P76"/>
    <mergeCell ref="Q82:S85"/>
    <mergeCell ref="B83:B84"/>
    <mergeCell ref="E83:E84"/>
    <mergeCell ref="F83:G83"/>
    <mergeCell ref="K83:L83"/>
    <mergeCell ref="O83:P83"/>
    <mergeCell ref="F84:G84"/>
    <mergeCell ref="B80:B81"/>
    <mergeCell ref="F80:G80"/>
    <mergeCell ref="H80:I80"/>
    <mergeCell ref="K80:L80"/>
    <mergeCell ref="O80:P80"/>
    <mergeCell ref="Q80:S81"/>
    <mergeCell ref="F81:G81"/>
    <mergeCell ref="H81:I81"/>
    <mergeCell ref="K81:L81"/>
    <mergeCell ref="O81:P81"/>
    <mergeCell ref="K84:L84"/>
    <mergeCell ref="O84:P84"/>
    <mergeCell ref="E85:E87"/>
    <mergeCell ref="F85:G85"/>
    <mergeCell ref="H85:I85"/>
    <mergeCell ref="K85:L85"/>
    <mergeCell ref="O85:P85"/>
    <mergeCell ref="F82:G82"/>
    <mergeCell ref="K82:L82"/>
    <mergeCell ref="O82:P82"/>
    <mergeCell ref="Q88:S91"/>
    <mergeCell ref="B89:B90"/>
    <mergeCell ref="E89:E90"/>
    <mergeCell ref="F89:G89"/>
    <mergeCell ref="K89:L89"/>
    <mergeCell ref="O89:P89"/>
    <mergeCell ref="F90:G90"/>
    <mergeCell ref="B86:B87"/>
    <mergeCell ref="F86:G86"/>
    <mergeCell ref="H86:I86"/>
    <mergeCell ref="K86:L86"/>
    <mergeCell ref="O86:P86"/>
    <mergeCell ref="Q86:S87"/>
    <mergeCell ref="F87:G87"/>
    <mergeCell ref="H87:I87"/>
    <mergeCell ref="K87:L87"/>
    <mergeCell ref="O87:P87"/>
    <mergeCell ref="K90:L90"/>
    <mergeCell ref="O90:P90"/>
    <mergeCell ref="E91:E93"/>
    <mergeCell ref="F91:G91"/>
    <mergeCell ref="H91:I91"/>
    <mergeCell ref="K91:L91"/>
    <mergeCell ref="O91:P91"/>
    <mergeCell ref="F88:G88"/>
    <mergeCell ref="K88:L88"/>
    <mergeCell ref="O88:P88"/>
    <mergeCell ref="Q94:S97"/>
    <mergeCell ref="B95:B96"/>
    <mergeCell ref="E95:E96"/>
    <mergeCell ref="F95:G95"/>
    <mergeCell ref="K95:L95"/>
    <mergeCell ref="O95:P95"/>
    <mergeCell ref="F96:G96"/>
    <mergeCell ref="B92:B93"/>
    <mergeCell ref="F92:G92"/>
    <mergeCell ref="H92:I92"/>
    <mergeCell ref="K92:L92"/>
    <mergeCell ref="O92:P92"/>
    <mergeCell ref="Q92:S93"/>
    <mergeCell ref="F93:G93"/>
    <mergeCell ref="H93:I93"/>
    <mergeCell ref="K93:L93"/>
    <mergeCell ref="O93:P93"/>
    <mergeCell ref="K96:L96"/>
    <mergeCell ref="O96:P96"/>
    <mergeCell ref="E97:E99"/>
    <mergeCell ref="F97:G97"/>
    <mergeCell ref="H97:I97"/>
    <mergeCell ref="K97:L97"/>
    <mergeCell ref="O97:P97"/>
    <mergeCell ref="F94:G94"/>
    <mergeCell ref="K94:L94"/>
    <mergeCell ref="O94:P94"/>
    <mergeCell ref="Q100:S103"/>
    <mergeCell ref="B101:B102"/>
    <mergeCell ref="E101:E102"/>
    <mergeCell ref="F101:G101"/>
    <mergeCell ref="K101:L101"/>
    <mergeCell ref="O101:P101"/>
    <mergeCell ref="F102:G102"/>
    <mergeCell ref="B98:B99"/>
    <mergeCell ref="F98:G98"/>
    <mergeCell ref="H98:I98"/>
    <mergeCell ref="K98:L98"/>
    <mergeCell ref="O98:P98"/>
    <mergeCell ref="Q98:S99"/>
    <mergeCell ref="F99:G99"/>
    <mergeCell ref="H99:I99"/>
    <mergeCell ref="K99:L99"/>
    <mergeCell ref="O99:P99"/>
    <mergeCell ref="K102:L102"/>
    <mergeCell ref="O102:P102"/>
    <mergeCell ref="E103:E105"/>
    <mergeCell ref="F103:G103"/>
    <mergeCell ref="Q106:S109"/>
    <mergeCell ref="B107:B108"/>
    <mergeCell ref="E107:E108"/>
    <mergeCell ref="F107:G107"/>
    <mergeCell ref="K107:L107"/>
    <mergeCell ref="O107:P107"/>
    <mergeCell ref="F108:G108"/>
    <mergeCell ref="B104:B105"/>
    <mergeCell ref="F104:G104"/>
    <mergeCell ref="H104:I104"/>
    <mergeCell ref="K104:L104"/>
    <mergeCell ref="O104:P104"/>
    <mergeCell ref="Q104:S105"/>
    <mergeCell ref="F105:G105"/>
    <mergeCell ref="H105:I105"/>
    <mergeCell ref="K105:L105"/>
    <mergeCell ref="O105:P105"/>
    <mergeCell ref="K108:L108"/>
    <mergeCell ref="F106:G106"/>
    <mergeCell ref="K106:L106"/>
    <mergeCell ref="O106:P106"/>
    <mergeCell ref="E109:E111"/>
    <mergeCell ref="B110:B111"/>
    <mergeCell ref="Q110:S111"/>
    <mergeCell ref="H103:I103"/>
    <mergeCell ref="K103:L103"/>
    <mergeCell ref="O103:P103"/>
    <mergeCell ref="F100:G100"/>
    <mergeCell ref="K100:L100"/>
    <mergeCell ref="O100:P100"/>
    <mergeCell ref="H115:I115"/>
    <mergeCell ref="K115:L115"/>
    <mergeCell ref="O115:P115"/>
    <mergeCell ref="O108:P108"/>
    <mergeCell ref="F109:G109"/>
    <mergeCell ref="H109:I109"/>
    <mergeCell ref="K109:L109"/>
    <mergeCell ref="O109:P109"/>
    <mergeCell ref="F110:G110"/>
    <mergeCell ref="H110:I110"/>
    <mergeCell ref="K110:L110"/>
    <mergeCell ref="O110:P110"/>
    <mergeCell ref="F111:G111"/>
    <mergeCell ref="H111:I111"/>
    <mergeCell ref="K111:L111"/>
    <mergeCell ref="O111:P111"/>
    <mergeCell ref="F112:G112"/>
    <mergeCell ref="K112:L112"/>
    <mergeCell ref="O112:P112"/>
    <mergeCell ref="B116:B117"/>
    <mergeCell ref="F116:G116"/>
    <mergeCell ref="H116:I116"/>
    <mergeCell ref="K116:L116"/>
    <mergeCell ref="O116:P116"/>
    <mergeCell ref="Q116:S117"/>
    <mergeCell ref="F117:G117"/>
    <mergeCell ref="H117:I117"/>
    <mergeCell ref="K117:L117"/>
    <mergeCell ref="O117:P117"/>
    <mergeCell ref="Q112:S115"/>
    <mergeCell ref="B113:B114"/>
    <mergeCell ref="E113:E114"/>
    <mergeCell ref="F113:G113"/>
    <mergeCell ref="K113:L113"/>
    <mergeCell ref="O113:P113"/>
    <mergeCell ref="F114:G114"/>
    <mergeCell ref="K114:L114"/>
    <mergeCell ref="O114:P114"/>
    <mergeCell ref="E115:E117"/>
    <mergeCell ref="F115:G115"/>
    <mergeCell ref="B119:Z119"/>
    <mergeCell ref="B120:Z120"/>
    <mergeCell ref="E121:F121"/>
    <mergeCell ref="G121:H121"/>
    <mergeCell ref="I121:J121"/>
    <mergeCell ref="K121:L121"/>
    <mergeCell ref="O121:P121"/>
    <mergeCell ref="Q121:R121"/>
    <mergeCell ref="S121:Z121"/>
    <mergeCell ref="S122:Z122"/>
    <mergeCell ref="E123:F123"/>
    <mergeCell ref="G123:H123"/>
    <mergeCell ref="I123:J123"/>
    <mergeCell ref="K123:L123"/>
    <mergeCell ref="O123:P123"/>
    <mergeCell ref="Q123:R123"/>
    <mergeCell ref="S123:Z123"/>
    <mergeCell ref="E122:F122"/>
    <mergeCell ref="G122:H122"/>
    <mergeCell ref="I122:J122"/>
    <mergeCell ref="K122:L122"/>
    <mergeCell ref="O122:P122"/>
    <mergeCell ref="Q122:R122"/>
    <mergeCell ref="S124:Z124"/>
    <mergeCell ref="E125:F125"/>
    <mergeCell ref="G125:H125"/>
    <mergeCell ref="I125:J125"/>
    <mergeCell ref="K125:L125"/>
    <mergeCell ref="O125:P125"/>
    <mergeCell ref="Q125:R125"/>
    <mergeCell ref="S125:Z125"/>
    <mergeCell ref="E124:F124"/>
    <mergeCell ref="G124:H124"/>
    <mergeCell ref="I124:J124"/>
    <mergeCell ref="K124:L124"/>
    <mergeCell ref="O124:P124"/>
    <mergeCell ref="Q124:R124"/>
    <mergeCell ref="S126:Z126"/>
    <mergeCell ref="E127:F127"/>
    <mergeCell ref="G127:H127"/>
    <mergeCell ref="I127:J127"/>
    <mergeCell ref="K127:L127"/>
    <mergeCell ref="O127:P127"/>
    <mergeCell ref="Q127:R127"/>
    <mergeCell ref="S127:Z127"/>
    <mergeCell ref="E126:F126"/>
    <mergeCell ref="G126:H126"/>
    <mergeCell ref="I126:J126"/>
    <mergeCell ref="K126:L126"/>
    <mergeCell ref="O126:P126"/>
    <mergeCell ref="Q126:R126"/>
    <mergeCell ref="S128:Z128"/>
    <mergeCell ref="E129:F129"/>
    <mergeCell ref="G129:H129"/>
    <mergeCell ref="I129:J129"/>
    <mergeCell ref="K129:L129"/>
    <mergeCell ref="O129:P129"/>
    <mergeCell ref="Q129:R129"/>
    <mergeCell ref="S129:Z129"/>
    <mergeCell ref="E128:F128"/>
    <mergeCell ref="G128:H128"/>
    <mergeCell ref="I128:J128"/>
    <mergeCell ref="K128:L128"/>
    <mergeCell ref="O128:P128"/>
    <mergeCell ref="Q128:R128"/>
    <mergeCell ref="S130:Z130"/>
    <mergeCell ref="E131:F131"/>
    <mergeCell ref="G131:H131"/>
    <mergeCell ref="I131:J131"/>
    <mergeCell ref="K131:L131"/>
    <mergeCell ref="O131:P131"/>
    <mergeCell ref="Q131:R131"/>
    <mergeCell ref="S131:Z131"/>
    <mergeCell ref="E130:F130"/>
    <mergeCell ref="G130:H130"/>
    <mergeCell ref="I130:J130"/>
    <mergeCell ref="K130:L130"/>
    <mergeCell ref="O130:P130"/>
    <mergeCell ref="Q130:R130"/>
    <mergeCell ref="S132:Z132"/>
    <mergeCell ref="E133:F133"/>
    <mergeCell ref="G133:H133"/>
    <mergeCell ref="I133:J133"/>
    <mergeCell ref="K133:L133"/>
    <mergeCell ref="O133:P133"/>
    <mergeCell ref="Q133:R133"/>
    <mergeCell ref="S133:Z133"/>
    <mergeCell ref="E132:F132"/>
    <mergeCell ref="G132:H132"/>
    <mergeCell ref="I132:J132"/>
    <mergeCell ref="K132:L132"/>
    <mergeCell ref="O132:P132"/>
    <mergeCell ref="Q132:R132"/>
    <mergeCell ref="S134:Z134"/>
    <mergeCell ref="E135:F135"/>
    <mergeCell ref="G135:H135"/>
    <mergeCell ref="I135:J135"/>
    <mergeCell ref="K135:L135"/>
    <mergeCell ref="O135:P135"/>
    <mergeCell ref="Q135:R135"/>
    <mergeCell ref="S135:Z135"/>
    <mergeCell ref="E134:F134"/>
    <mergeCell ref="G134:H134"/>
    <mergeCell ref="I134:J134"/>
    <mergeCell ref="K134:L134"/>
    <mergeCell ref="O134:P134"/>
    <mergeCell ref="Q134:R134"/>
    <mergeCell ref="S136:Z136"/>
    <mergeCell ref="E137:F137"/>
    <mergeCell ref="G137:H137"/>
    <mergeCell ref="I137:J137"/>
    <mergeCell ref="K137:L137"/>
    <mergeCell ref="O137:P137"/>
    <mergeCell ref="Q137:R137"/>
    <mergeCell ref="S137:Z137"/>
    <mergeCell ref="E136:F136"/>
    <mergeCell ref="G136:H136"/>
    <mergeCell ref="I136:J136"/>
    <mergeCell ref="K136:L136"/>
    <mergeCell ref="O136:P136"/>
    <mergeCell ref="Q136:R136"/>
    <mergeCell ref="S138:Z138"/>
    <mergeCell ref="E139:F139"/>
    <mergeCell ref="G139:H139"/>
    <mergeCell ref="I139:J139"/>
    <mergeCell ref="K139:L139"/>
    <mergeCell ref="O139:P139"/>
    <mergeCell ref="Q139:R139"/>
    <mergeCell ref="S139:Z139"/>
    <mergeCell ref="E138:F138"/>
    <mergeCell ref="G138:H138"/>
    <mergeCell ref="I138:J138"/>
    <mergeCell ref="K138:L138"/>
    <mergeCell ref="O138:P138"/>
    <mergeCell ref="Q138:R138"/>
    <mergeCell ref="S140:Z140"/>
    <mergeCell ref="E141:F141"/>
    <mergeCell ref="G141:H141"/>
    <mergeCell ref="I141:J141"/>
    <mergeCell ref="K141:L141"/>
    <mergeCell ref="O141:P141"/>
    <mergeCell ref="Q141:R141"/>
    <mergeCell ref="S141:Z141"/>
    <mergeCell ref="E140:F140"/>
    <mergeCell ref="G140:H140"/>
    <mergeCell ref="I140:J140"/>
    <mergeCell ref="K140:L140"/>
    <mergeCell ref="O140:P140"/>
    <mergeCell ref="Q140:R140"/>
    <mergeCell ref="S142:Z142"/>
    <mergeCell ref="E143:F143"/>
    <mergeCell ref="G143:H143"/>
    <mergeCell ref="I143:J143"/>
    <mergeCell ref="K143:L143"/>
    <mergeCell ref="O143:P143"/>
    <mergeCell ref="Q143:R143"/>
    <mergeCell ref="S143:Z143"/>
    <mergeCell ref="E142:F142"/>
    <mergeCell ref="G142:H142"/>
    <mergeCell ref="I142:J142"/>
    <mergeCell ref="K142:L142"/>
    <mergeCell ref="O142:P142"/>
    <mergeCell ref="Q142:R142"/>
    <mergeCell ref="S144:Z144"/>
    <mergeCell ref="E145:F145"/>
    <mergeCell ref="G145:H145"/>
    <mergeCell ref="I145:J145"/>
    <mergeCell ref="K145:L145"/>
    <mergeCell ref="O145:P145"/>
    <mergeCell ref="Q145:R145"/>
    <mergeCell ref="S145:Z145"/>
    <mergeCell ref="E144:F144"/>
    <mergeCell ref="G144:H144"/>
    <mergeCell ref="I144:J144"/>
    <mergeCell ref="K144:L144"/>
    <mergeCell ref="O144:P144"/>
    <mergeCell ref="Q144:R144"/>
    <mergeCell ref="S146:Z146"/>
    <mergeCell ref="E147:F147"/>
    <mergeCell ref="G147:H147"/>
    <mergeCell ref="I147:J147"/>
    <mergeCell ref="K147:L147"/>
    <mergeCell ref="O147:P147"/>
    <mergeCell ref="Q147:R147"/>
    <mergeCell ref="S147:Z147"/>
    <mergeCell ref="E146:F146"/>
    <mergeCell ref="G146:H146"/>
    <mergeCell ref="I146:J146"/>
    <mergeCell ref="K146:L146"/>
    <mergeCell ref="O146:P146"/>
    <mergeCell ref="Q146:R146"/>
    <mergeCell ref="S148:Z148"/>
    <mergeCell ref="E149:F149"/>
    <mergeCell ref="G149:H149"/>
    <mergeCell ref="I149:J149"/>
    <mergeCell ref="K149:L149"/>
    <mergeCell ref="O149:P149"/>
    <mergeCell ref="Q149:R149"/>
    <mergeCell ref="S149:Z149"/>
    <mergeCell ref="E148:F148"/>
    <mergeCell ref="G148:H148"/>
    <mergeCell ref="I148:J148"/>
    <mergeCell ref="K148:L148"/>
    <mergeCell ref="O148:P148"/>
    <mergeCell ref="Q148:R148"/>
    <mergeCell ref="S150:Z150"/>
    <mergeCell ref="E151:F151"/>
    <mergeCell ref="G151:H151"/>
    <mergeCell ref="I151:J151"/>
    <mergeCell ref="K151:L151"/>
    <mergeCell ref="O151:P151"/>
    <mergeCell ref="Q151:R151"/>
    <mergeCell ref="S151:Z151"/>
    <mergeCell ref="E150:F150"/>
    <mergeCell ref="G150:H150"/>
    <mergeCell ref="I150:J150"/>
    <mergeCell ref="K150:L150"/>
    <mergeCell ref="O150:P150"/>
    <mergeCell ref="Q150:R150"/>
    <mergeCell ref="B155:T155"/>
    <mergeCell ref="B156:T156"/>
    <mergeCell ref="B157:T157"/>
    <mergeCell ref="E158:F158"/>
    <mergeCell ref="G158:H158"/>
    <mergeCell ref="I158:J158"/>
    <mergeCell ref="K158:L158"/>
    <mergeCell ref="O158:R158"/>
    <mergeCell ref="S158:T158"/>
    <mergeCell ref="E160:F160"/>
    <mergeCell ref="G160:H160"/>
    <mergeCell ref="I160:J160"/>
    <mergeCell ref="K160:L160"/>
    <mergeCell ref="O160:R160"/>
    <mergeCell ref="S160:T160"/>
    <mergeCell ref="E159:F159"/>
    <mergeCell ref="G159:H159"/>
    <mergeCell ref="I159:J159"/>
    <mergeCell ref="K159:L159"/>
    <mergeCell ref="O159:R159"/>
    <mergeCell ref="S159:T159"/>
    <mergeCell ref="E162:F162"/>
    <mergeCell ref="G162:H162"/>
    <mergeCell ref="I162:J162"/>
    <mergeCell ref="K162:L162"/>
    <mergeCell ref="O162:R162"/>
    <mergeCell ref="S162:T162"/>
    <mergeCell ref="E161:F161"/>
    <mergeCell ref="G161:H161"/>
    <mergeCell ref="I161:J161"/>
    <mergeCell ref="K161:L161"/>
    <mergeCell ref="O161:R161"/>
    <mergeCell ref="S161:T161"/>
    <mergeCell ref="E164:F164"/>
    <mergeCell ref="G164:H164"/>
    <mergeCell ref="I164:J164"/>
    <mergeCell ref="K164:L164"/>
    <mergeCell ref="O164:R164"/>
    <mergeCell ref="S164:T164"/>
    <mergeCell ref="E163:F163"/>
    <mergeCell ref="G163:H163"/>
    <mergeCell ref="I163:J163"/>
    <mergeCell ref="K163:L163"/>
    <mergeCell ref="O163:R163"/>
    <mergeCell ref="S163:T163"/>
    <mergeCell ref="E166:F166"/>
    <mergeCell ref="G166:H166"/>
    <mergeCell ref="I166:J166"/>
    <mergeCell ref="K166:L166"/>
    <mergeCell ref="O166:R166"/>
    <mergeCell ref="S166:T166"/>
    <mergeCell ref="E165:F165"/>
    <mergeCell ref="G165:H165"/>
    <mergeCell ref="I165:J165"/>
    <mergeCell ref="K165:L165"/>
    <mergeCell ref="O165:R165"/>
    <mergeCell ref="S165:T165"/>
    <mergeCell ref="Q167:R167"/>
    <mergeCell ref="S167:T167"/>
    <mergeCell ref="G168:H168"/>
    <mergeCell ref="I168:J168"/>
    <mergeCell ref="Q168:R168"/>
    <mergeCell ref="S168:T168"/>
    <mergeCell ref="B167:B168"/>
    <mergeCell ref="E167:F168"/>
    <mergeCell ref="G167:H167"/>
    <mergeCell ref="I167:J167"/>
    <mergeCell ref="K167:L168"/>
    <mergeCell ref="O167:P168"/>
    <mergeCell ref="Q169:R169"/>
    <mergeCell ref="S169:T170"/>
    <mergeCell ref="G170:H170"/>
    <mergeCell ref="I170:J170"/>
    <mergeCell ref="O170:P170"/>
    <mergeCell ref="Q170:R170"/>
    <mergeCell ref="B169:B170"/>
    <mergeCell ref="E169:F170"/>
    <mergeCell ref="G169:H169"/>
    <mergeCell ref="I169:J169"/>
    <mergeCell ref="K169:L170"/>
    <mergeCell ref="O169:P169"/>
    <mergeCell ref="Q171:R172"/>
    <mergeCell ref="S171:T171"/>
    <mergeCell ref="G172:H172"/>
    <mergeCell ref="I172:J172"/>
    <mergeCell ref="O172:P172"/>
    <mergeCell ref="S172:T172"/>
    <mergeCell ref="B171:B172"/>
    <mergeCell ref="E171:F172"/>
    <mergeCell ref="G171:H171"/>
    <mergeCell ref="I171:J171"/>
    <mergeCell ref="K171:L172"/>
    <mergeCell ref="O171:P171"/>
    <mergeCell ref="B179:V179"/>
    <mergeCell ref="B180:V180"/>
    <mergeCell ref="B181:V181"/>
    <mergeCell ref="B182:V182"/>
    <mergeCell ref="B174:S174"/>
    <mergeCell ref="T174:V174"/>
    <mergeCell ref="B175:V175"/>
    <mergeCell ref="B176:V176"/>
    <mergeCell ref="B177:V177"/>
    <mergeCell ref="B178:V178"/>
  </mergeCells>
  <conditionalFormatting sqref="Q122:R122 Q124:R124 Q126:R126 Q128:R128 Q130:R130 Q132:R132 Q134:R134 Q136:R136 Q138:R138 Q140:R140 Q142:R142 Q144:R144 Q146:R146 Q148:R148 Q150:R150">
    <cfRule type="cellIs" dxfId="10" priority="11" operator="lessThan">
      <formula>0</formula>
    </cfRule>
  </conditionalFormatting>
  <conditionalFormatting sqref="Q123:R123 Q125:R125 Q127:R127 Q129:R129 Q131:R131 Q133:R133 Q135:R135 Q137:R137 Q139:R139 Q141:R141 Q143:R143 Q145:R145 Q147:R147 Q149:R149 Q151:R151">
    <cfRule type="cellIs" dxfId="9" priority="10" operator="lessThan">
      <formula>0</formula>
    </cfRule>
  </conditionalFormatting>
  <conditionalFormatting sqref="H71:I75">
    <cfRule type="cellIs" dxfId="8" priority="9" operator="greaterThan">
      <formula>0</formula>
    </cfRule>
  </conditionalFormatting>
  <conditionalFormatting sqref="H77:I81">
    <cfRule type="cellIs" dxfId="7" priority="8" operator="greaterThan">
      <formula>0</formula>
    </cfRule>
  </conditionalFormatting>
  <conditionalFormatting sqref="H83:I87">
    <cfRule type="cellIs" dxfId="6" priority="7" operator="greaterThan">
      <formula>0</formula>
    </cfRule>
  </conditionalFormatting>
  <conditionalFormatting sqref="H89:I93">
    <cfRule type="cellIs" dxfId="5" priority="6" operator="greaterThan">
      <formula>0</formula>
    </cfRule>
  </conditionalFormatting>
  <conditionalFormatting sqref="H95:I99">
    <cfRule type="cellIs" dxfId="4" priority="5" operator="greaterThan">
      <formula>0</formula>
    </cfRule>
  </conditionalFormatting>
  <conditionalFormatting sqref="H101:I105">
    <cfRule type="cellIs" dxfId="3" priority="4" operator="greaterThan">
      <formula>0</formula>
    </cfRule>
  </conditionalFormatting>
  <conditionalFormatting sqref="H107:I111">
    <cfRule type="cellIs" dxfId="2" priority="3" operator="greaterThan">
      <formula>0</formula>
    </cfRule>
  </conditionalFormatting>
  <conditionalFormatting sqref="H113:I117">
    <cfRule type="cellIs" dxfId="1" priority="2" operator="greaterThan">
      <formula>0</formula>
    </cfRule>
  </conditionalFormatting>
  <conditionalFormatting sqref="S171:T172">
    <cfRule type="cellIs" dxfId="0" priority="1" operator="lessThan">
      <formula>0</formula>
    </cfRule>
  </conditionalFormatting>
  <printOptions horizontalCentered="1" verticalCentered="1"/>
  <pageMargins left="0" right="0" top="0" bottom="0" header="0" footer="0"/>
  <pageSetup scale="2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LUNES 15</vt:lpstr>
      <vt:lpstr>DOMINGO 14</vt:lpstr>
      <vt:lpstr>SABADO 13</vt:lpstr>
      <vt:lpstr>VIERNES 12</vt:lpstr>
      <vt:lpstr>JUEVES 11</vt:lpstr>
      <vt:lpstr>MIERCOLES 10</vt:lpstr>
      <vt:lpstr>MARTES 09</vt:lpstr>
      <vt:lpstr>LUNES 08</vt:lpstr>
      <vt:lpstr>DOMINGO 07</vt:lpstr>
      <vt:lpstr>'DOMINGO 07'!Área_de_impresión</vt:lpstr>
      <vt:lpstr>'DOMINGO 14'!Área_de_impresión</vt:lpstr>
      <vt:lpstr>'JUEVES 11'!Área_de_impresión</vt:lpstr>
      <vt:lpstr>'LUNES 08'!Área_de_impresión</vt:lpstr>
      <vt:lpstr>'LUNES 15'!Área_de_impresión</vt:lpstr>
      <vt:lpstr>'MARTES 09'!Área_de_impresión</vt:lpstr>
      <vt:lpstr>'MIERCOLES 10'!Área_de_impresión</vt:lpstr>
      <vt:lpstr>'SABADO 13'!Área_de_impresión</vt:lpstr>
      <vt:lpstr>'VIERNES 12'!Área_de_impresión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2026-06-12T21:07:40Z</dcterms:modified>
</cp:coreProperties>
</file>